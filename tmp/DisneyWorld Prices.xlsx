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bimason/Documents/"/>
    </mc:Choice>
  </mc:AlternateContent>
  <xr:revisionPtr revIDLastSave="0" documentId="13_ncr:1_{A22D3741-2CC0-BE4E-94DD-6941EF0971BF}" xr6:coauthVersionLast="47" xr6:coauthVersionMax="47" xr10:uidLastSave="{00000000-0000-0000-0000-000000000000}"/>
  <bookViews>
    <workbookView xWindow="0" yWindow="740" windowWidth="29400" windowHeight="18380" activeTab="3" xr2:uid="{5C29B88C-61CD-D54F-9FC1-6D3B7B378664}"/>
  </bookViews>
  <sheets>
    <sheet name="2D 1ppd CH" sheetId="1" r:id="rId1"/>
    <sheet name="2D 1ppd AD" sheetId="5" r:id="rId2"/>
    <sheet name="Date Based Pricing Tier Cre (2)" sheetId="3" r:id="rId3"/>
    <sheet name="Date Based Pricing Tier Cre (3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5" l="1"/>
  <c r="D2" i="5" a="1"/>
  <c r="D2" i="5" s="1"/>
  <c r="D2" i="1" a="1"/>
  <c r="D2" i="1" s="1"/>
  <c r="D2" i="3" a="1"/>
  <c r="D2" i="3" s="1"/>
  <c r="Q6" i="3"/>
  <c r="AA202" i="4" a="1"/>
  <c r="AA202" i="4" s="1"/>
  <c r="G183" i="4" a="1"/>
  <c r="G183" i="4" s="1"/>
  <c r="G184" i="4" a="1"/>
  <c r="G184" i="4" s="1"/>
  <c r="G185" i="4" a="1"/>
  <c r="G185" i="4" s="1"/>
  <c r="G186" i="4" a="1"/>
  <c r="G186" i="4" s="1"/>
  <c r="G187" i="4" a="1"/>
  <c r="G187" i="4" s="1"/>
  <c r="G188" i="4" a="1"/>
  <c r="G188" i="4" s="1"/>
  <c r="G189" i="4" a="1"/>
  <c r="G189" i="4" s="1"/>
  <c r="G190" i="4" a="1"/>
  <c r="G190" i="4" s="1"/>
  <c r="G191" i="4" a="1"/>
  <c r="G191" i="4" s="1"/>
  <c r="G192" i="4" a="1"/>
  <c r="G192" i="4" s="1"/>
  <c r="G193" i="4" a="1"/>
  <c r="G193" i="4" s="1"/>
  <c r="G194" i="4" a="1"/>
  <c r="G194" i="4" s="1"/>
  <c r="G195" i="4" a="1"/>
  <c r="G195" i="4" s="1"/>
  <c r="G196" i="4" a="1"/>
  <c r="G196" i="4" s="1"/>
  <c r="G197" i="4" a="1"/>
  <c r="G197" i="4" s="1"/>
  <c r="G198" i="4" a="1"/>
  <c r="G198" i="4" s="1"/>
  <c r="G199" i="4" a="1"/>
  <c r="G199" i="4" s="1"/>
  <c r="G200" i="4" a="1"/>
  <c r="G200" i="4" s="1"/>
  <c r="G201" i="4" a="1"/>
  <c r="G201" i="4" s="1"/>
  <c r="G202" i="4" a="1"/>
  <c r="G202" i="4" s="1"/>
  <c r="C81" i="4"/>
  <c r="C91" i="4"/>
  <c r="C181" i="4"/>
  <c r="C191" i="4"/>
  <c r="C201" i="4"/>
  <c r="C281" i="4"/>
  <c r="C291" i="4"/>
  <c r="C301" i="4"/>
  <c r="Q6" i="4"/>
  <c r="D2" i="4" a="1"/>
  <c r="D2" i="4" s="1"/>
  <c r="C101" i="4" s="1"/>
  <c r="C320" i="5" l="1"/>
  <c r="C310" i="5"/>
  <c r="C300" i="5"/>
  <c r="C290" i="5"/>
  <c r="C280" i="5"/>
  <c r="C270" i="5"/>
  <c r="C260" i="5"/>
  <c r="C250" i="5"/>
  <c r="C240" i="5"/>
  <c r="C230" i="5"/>
  <c r="C220" i="5"/>
  <c r="C210" i="5"/>
  <c r="C200" i="5"/>
  <c r="C190" i="5"/>
  <c r="C319" i="5"/>
  <c r="C309" i="5"/>
  <c r="C299" i="5"/>
  <c r="C289" i="5"/>
  <c r="C279" i="5"/>
  <c r="C269" i="5"/>
  <c r="C259" i="5"/>
  <c r="C249" i="5"/>
  <c r="C239" i="5"/>
  <c r="C229" i="5"/>
  <c r="C219" i="5"/>
  <c r="C209" i="5"/>
  <c r="C199" i="5"/>
  <c r="C189" i="5"/>
  <c r="C182" i="5"/>
  <c r="C180" i="5"/>
  <c r="C178" i="5"/>
  <c r="C176" i="5"/>
  <c r="C174" i="5"/>
  <c r="C172" i="5"/>
  <c r="C170" i="5"/>
  <c r="C168" i="5"/>
  <c r="C166" i="5"/>
  <c r="C164" i="5"/>
  <c r="C162" i="5"/>
  <c r="C160" i="5"/>
  <c r="C158" i="5"/>
  <c r="C156" i="5"/>
  <c r="C154" i="5"/>
  <c r="C152" i="5"/>
  <c r="C150" i="5"/>
  <c r="C148" i="5"/>
  <c r="C146" i="5"/>
  <c r="C144" i="5"/>
  <c r="C142" i="5"/>
  <c r="C140" i="5"/>
  <c r="C138" i="5"/>
  <c r="C136" i="5"/>
  <c r="C134" i="5"/>
  <c r="C132" i="5"/>
  <c r="C130" i="5"/>
  <c r="C318" i="5"/>
  <c r="C308" i="5"/>
  <c r="C298" i="5"/>
  <c r="C288" i="5"/>
  <c r="C278" i="5"/>
  <c r="C268" i="5"/>
  <c r="C258" i="5"/>
  <c r="C248" i="5"/>
  <c r="C238" i="5"/>
  <c r="C228" i="5"/>
  <c r="C218" i="5"/>
  <c r="C208" i="5"/>
  <c r="C198" i="5"/>
  <c r="C188" i="5"/>
  <c r="C317" i="5"/>
  <c r="C316" i="5"/>
  <c r="C312" i="5"/>
  <c r="C302" i="5"/>
  <c r="C292" i="5"/>
  <c r="C282" i="5"/>
  <c r="C272" i="5"/>
  <c r="C262" i="5"/>
  <c r="C252" i="5"/>
  <c r="C242" i="5"/>
  <c r="C232" i="5"/>
  <c r="C222" i="5"/>
  <c r="C212" i="5"/>
  <c r="C202" i="5"/>
  <c r="C192" i="5"/>
  <c r="C183" i="5"/>
  <c r="C315" i="5"/>
  <c r="C297" i="5"/>
  <c r="C283" i="5"/>
  <c r="C265" i="5"/>
  <c r="C247" i="5"/>
  <c r="C233" i="5"/>
  <c r="C215" i="5"/>
  <c r="C197" i="5"/>
  <c r="C184" i="5"/>
  <c r="C177" i="5"/>
  <c r="C167" i="5"/>
  <c r="C157" i="5"/>
  <c r="C147" i="5"/>
  <c r="C137" i="5"/>
  <c r="C125" i="5"/>
  <c r="C114" i="5"/>
  <c r="C105" i="5"/>
  <c r="C94" i="5"/>
  <c r="C85" i="5"/>
  <c r="C74" i="5"/>
  <c r="C65" i="5"/>
  <c r="C54" i="5"/>
  <c r="C45" i="5"/>
  <c r="C314" i="5"/>
  <c r="C296" i="5"/>
  <c r="C281" i="5"/>
  <c r="C264" i="5"/>
  <c r="C246" i="5"/>
  <c r="C231" i="5"/>
  <c r="C214" i="5"/>
  <c r="C196" i="5"/>
  <c r="C127" i="5"/>
  <c r="C116" i="5"/>
  <c r="C107" i="5"/>
  <c r="C96" i="5"/>
  <c r="C87" i="5"/>
  <c r="C76" i="5"/>
  <c r="C67" i="5"/>
  <c r="C56" i="5"/>
  <c r="C47" i="5"/>
  <c r="C313" i="5"/>
  <c r="C295" i="5"/>
  <c r="C277" i="5"/>
  <c r="C263" i="5"/>
  <c r="C245" i="5"/>
  <c r="C227" i="5"/>
  <c r="C213" i="5"/>
  <c r="C195" i="5"/>
  <c r="C179" i="5"/>
  <c r="C169" i="5"/>
  <c r="C159" i="5"/>
  <c r="C149" i="5"/>
  <c r="C139" i="5"/>
  <c r="C129" i="5"/>
  <c r="C118" i="5"/>
  <c r="C109" i="5"/>
  <c r="C98" i="5"/>
  <c r="C89" i="5"/>
  <c r="C78" i="5"/>
  <c r="C69" i="5"/>
  <c r="C58" i="5"/>
  <c r="C49" i="5"/>
  <c r="C311" i="5"/>
  <c r="C294" i="5"/>
  <c r="C276" i="5"/>
  <c r="C261" i="5"/>
  <c r="C244" i="5"/>
  <c r="C226" i="5"/>
  <c r="C211" i="5"/>
  <c r="C194" i="5"/>
  <c r="C120" i="5"/>
  <c r="C111" i="5"/>
  <c r="C100" i="5"/>
  <c r="C91" i="5"/>
  <c r="C80" i="5"/>
  <c r="C71" i="5"/>
  <c r="C307" i="5"/>
  <c r="C293" i="5"/>
  <c r="C275" i="5"/>
  <c r="C257" i="5"/>
  <c r="C243" i="5"/>
  <c r="C225" i="5"/>
  <c r="C207" i="5"/>
  <c r="C193" i="5"/>
  <c r="C171" i="5"/>
  <c r="C161" i="5"/>
  <c r="C151" i="5"/>
  <c r="C141" i="5"/>
  <c r="C131" i="5"/>
  <c r="C122" i="5"/>
  <c r="C113" i="5"/>
  <c r="C102" i="5"/>
  <c r="C93" i="5"/>
  <c r="C306" i="5"/>
  <c r="C291" i="5"/>
  <c r="C274" i="5"/>
  <c r="C256" i="5"/>
  <c r="C241" i="5"/>
  <c r="C224" i="5"/>
  <c r="C206" i="5"/>
  <c r="C191" i="5"/>
  <c r="C181" i="5"/>
  <c r="C124" i="5"/>
  <c r="C115" i="5"/>
  <c r="C104" i="5"/>
  <c r="C95" i="5"/>
  <c r="C305" i="5"/>
  <c r="C287" i="5"/>
  <c r="C273" i="5"/>
  <c r="C255" i="5"/>
  <c r="C237" i="5"/>
  <c r="C223" i="5"/>
  <c r="C205" i="5"/>
  <c r="C187" i="5"/>
  <c r="C173" i="5"/>
  <c r="C163" i="5"/>
  <c r="C153" i="5"/>
  <c r="C143" i="5"/>
  <c r="C133" i="5"/>
  <c r="C126" i="5"/>
  <c r="C117" i="5"/>
  <c r="C106" i="5"/>
  <c r="C97" i="5"/>
  <c r="C304" i="5"/>
  <c r="C286" i="5"/>
  <c r="C271" i="5"/>
  <c r="C254" i="5"/>
  <c r="C236" i="5"/>
  <c r="C221" i="5"/>
  <c r="C204" i="5"/>
  <c r="C186" i="5"/>
  <c r="C128" i="5"/>
  <c r="C119" i="5"/>
  <c r="C108" i="5"/>
  <c r="C99" i="5"/>
  <c r="C88" i="5"/>
  <c r="C303" i="5"/>
  <c r="C285" i="5"/>
  <c r="C267" i="5"/>
  <c r="C253" i="5"/>
  <c r="C235" i="5"/>
  <c r="C217" i="5"/>
  <c r="C203" i="5"/>
  <c r="C175" i="5"/>
  <c r="C165" i="5"/>
  <c r="C155" i="5"/>
  <c r="C145" i="5"/>
  <c r="C135" i="5"/>
  <c r="C121" i="5"/>
  <c r="C110" i="5"/>
  <c r="C101" i="5"/>
  <c r="C301" i="5"/>
  <c r="C284" i="5"/>
  <c r="C266" i="5"/>
  <c r="C251" i="5"/>
  <c r="C234" i="5"/>
  <c r="C216" i="5"/>
  <c r="C201" i="5"/>
  <c r="C185" i="5"/>
  <c r="C123" i="5"/>
  <c r="C112" i="5"/>
  <c r="C103" i="5"/>
  <c r="C92" i="5"/>
  <c r="C83" i="5"/>
  <c r="C72" i="5"/>
  <c r="C63" i="5"/>
  <c r="C75" i="5"/>
  <c r="C48" i="5"/>
  <c r="C26" i="5"/>
  <c r="C15" i="5"/>
  <c r="C17" i="5"/>
  <c r="C25" i="5"/>
  <c r="C16" i="5"/>
  <c r="C66" i="5"/>
  <c r="C38" i="5"/>
  <c r="C28" i="5"/>
  <c r="C60" i="5"/>
  <c r="C50" i="5"/>
  <c r="C40" i="5"/>
  <c r="C35" i="5"/>
  <c r="C32" i="5"/>
  <c r="C84" i="5"/>
  <c r="C79" i="5"/>
  <c r="C44" i="5"/>
  <c r="C41" i="5"/>
  <c r="C33" i="5"/>
  <c r="C30" i="5"/>
  <c r="C19" i="5"/>
  <c r="C70" i="5"/>
  <c r="C61" i="5"/>
  <c r="C57" i="5"/>
  <c r="C53" i="5"/>
  <c r="C21" i="5"/>
  <c r="C29" i="5"/>
  <c r="C90" i="5"/>
  <c r="C73" i="5"/>
  <c r="C23" i="5"/>
  <c r="C14" i="5"/>
  <c r="C27" i="5"/>
  <c r="C18" i="5"/>
  <c r="C22" i="5"/>
  <c r="C82" i="5"/>
  <c r="C64" i="5"/>
  <c r="C20" i="5"/>
  <c r="C77" i="5"/>
  <c r="C46" i="5"/>
  <c r="C43" i="5"/>
  <c r="C37" i="5"/>
  <c r="C34" i="5"/>
  <c r="C68" i="5"/>
  <c r="C81" i="5"/>
  <c r="C59" i="5"/>
  <c r="C55" i="5"/>
  <c r="C52" i="5"/>
  <c r="C42" i="5"/>
  <c r="C86" i="5"/>
  <c r="C62" i="5"/>
  <c r="C51" i="5"/>
  <c r="C39" i="5"/>
  <c r="C36" i="5"/>
  <c r="C24" i="5"/>
  <c r="C13" i="5"/>
  <c r="C14" i="1"/>
  <c r="C24" i="1"/>
  <c r="C34" i="1"/>
  <c r="C44" i="1"/>
  <c r="C54" i="1"/>
  <c r="C64" i="1"/>
  <c r="C74" i="1"/>
  <c r="C84" i="1"/>
  <c r="C94" i="1"/>
  <c r="C104" i="1"/>
  <c r="C114" i="1"/>
  <c r="C124" i="1"/>
  <c r="C134" i="1"/>
  <c r="C144" i="1"/>
  <c r="C154" i="1"/>
  <c r="C164" i="1"/>
  <c r="C174" i="1"/>
  <c r="C184" i="1"/>
  <c r="C194" i="1"/>
  <c r="C204" i="1"/>
  <c r="C214" i="1"/>
  <c r="C224" i="1"/>
  <c r="C234" i="1"/>
  <c r="C244" i="1"/>
  <c r="C254" i="1"/>
  <c r="C264" i="1"/>
  <c r="C274" i="1"/>
  <c r="C284" i="1"/>
  <c r="C294" i="1"/>
  <c r="C304" i="1"/>
  <c r="C314" i="1"/>
  <c r="C22" i="1"/>
  <c r="C33" i="1"/>
  <c r="C45" i="1"/>
  <c r="C56" i="1"/>
  <c r="C67" i="1"/>
  <c r="C78" i="1"/>
  <c r="C89" i="1"/>
  <c r="C100" i="1"/>
  <c r="C111" i="1"/>
  <c r="C122" i="1"/>
  <c r="C133" i="1"/>
  <c r="C145" i="1"/>
  <c r="C156" i="1"/>
  <c r="C167" i="1"/>
  <c r="C178" i="1"/>
  <c r="C189" i="1"/>
  <c r="C200" i="1"/>
  <c r="C211" i="1"/>
  <c r="C222" i="1"/>
  <c r="C233" i="1"/>
  <c r="C245" i="1"/>
  <c r="C256" i="1"/>
  <c r="C267" i="1"/>
  <c r="C278" i="1"/>
  <c r="C289" i="1"/>
  <c r="C300" i="1"/>
  <c r="C311" i="1"/>
  <c r="C23" i="1"/>
  <c r="C35" i="1"/>
  <c r="C46" i="1"/>
  <c r="C57" i="1"/>
  <c r="C68" i="1"/>
  <c r="C79" i="1"/>
  <c r="C90" i="1"/>
  <c r="C101" i="1"/>
  <c r="C112" i="1"/>
  <c r="C123" i="1"/>
  <c r="C135" i="1"/>
  <c r="C146" i="1"/>
  <c r="C157" i="1"/>
  <c r="C168" i="1"/>
  <c r="C179" i="1"/>
  <c r="C190" i="1"/>
  <c r="C201" i="1"/>
  <c r="C212" i="1"/>
  <c r="C223" i="1"/>
  <c r="C235" i="1"/>
  <c r="C246" i="1"/>
  <c r="C257" i="1"/>
  <c r="C268" i="1"/>
  <c r="C279" i="1"/>
  <c r="C290" i="1"/>
  <c r="C301" i="1"/>
  <c r="C312" i="1"/>
  <c r="C206" i="1"/>
  <c r="C13" i="1"/>
  <c r="C25" i="1"/>
  <c r="C36" i="1"/>
  <c r="C47" i="1"/>
  <c r="C58" i="1"/>
  <c r="C69" i="1"/>
  <c r="C80" i="1"/>
  <c r="C91" i="1"/>
  <c r="C102" i="1"/>
  <c r="C113" i="1"/>
  <c r="C125" i="1"/>
  <c r="C136" i="1"/>
  <c r="C147" i="1"/>
  <c r="C158" i="1"/>
  <c r="C169" i="1"/>
  <c r="C180" i="1"/>
  <c r="C191" i="1"/>
  <c r="C202" i="1"/>
  <c r="C213" i="1"/>
  <c r="C225" i="1"/>
  <c r="C236" i="1"/>
  <c r="C247" i="1"/>
  <c r="C258" i="1"/>
  <c r="C269" i="1"/>
  <c r="C280" i="1"/>
  <c r="C291" i="1"/>
  <c r="C302" i="1"/>
  <c r="C313" i="1"/>
  <c r="C15" i="1"/>
  <c r="C26" i="1"/>
  <c r="C37" i="1"/>
  <c r="C48" i="1"/>
  <c r="C59" i="1"/>
  <c r="C70" i="1"/>
  <c r="C81" i="1"/>
  <c r="C92" i="1"/>
  <c r="C103" i="1"/>
  <c r="C115" i="1"/>
  <c r="C126" i="1"/>
  <c r="C137" i="1"/>
  <c r="C148" i="1"/>
  <c r="C159" i="1"/>
  <c r="C170" i="1"/>
  <c r="C181" i="1"/>
  <c r="C192" i="1"/>
  <c r="C203" i="1"/>
  <c r="C226" i="1"/>
  <c r="C237" i="1"/>
  <c r="C248" i="1"/>
  <c r="C259" i="1"/>
  <c r="C270" i="1"/>
  <c r="C281" i="1"/>
  <c r="C292" i="1"/>
  <c r="C303" i="1"/>
  <c r="C315" i="1"/>
  <c r="C39" i="1"/>
  <c r="C61" i="1"/>
  <c r="C106" i="1"/>
  <c r="C150" i="1"/>
  <c r="C228" i="1"/>
  <c r="C306" i="1"/>
  <c r="C215" i="1"/>
  <c r="C16" i="1"/>
  <c r="C27" i="1"/>
  <c r="C38" i="1"/>
  <c r="C49" i="1"/>
  <c r="C60" i="1"/>
  <c r="C71" i="1"/>
  <c r="C82" i="1"/>
  <c r="C93" i="1"/>
  <c r="C105" i="1"/>
  <c r="C116" i="1"/>
  <c r="C127" i="1"/>
  <c r="C138" i="1"/>
  <c r="C149" i="1"/>
  <c r="C160" i="1"/>
  <c r="C171" i="1"/>
  <c r="C182" i="1"/>
  <c r="C193" i="1"/>
  <c r="C205" i="1"/>
  <c r="C216" i="1"/>
  <c r="C227" i="1"/>
  <c r="C238" i="1"/>
  <c r="C249" i="1"/>
  <c r="C260" i="1"/>
  <c r="C271" i="1"/>
  <c r="C282" i="1"/>
  <c r="C293" i="1"/>
  <c r="C305" i="1"/>
  <c r="C316" i="1"/>
  <c r="C18" i="1"/>
  <c r="C29" i="1"/>
  <c r="C40" i="1"/>
  <c r="C51" i="1"/>
  <c r="C62" i="1"/>
  <c r="C73" i="1"/>
  <c r="C85" i="1"/>
  <c r="C96" i="1"/>
  <c r="C107" i="1"/>
  <c r="C118" i="1"/>
  <c r="C129" i="1"/>
  <c r="C140" i="1"/>
  <c r="C151" i="1"/>
  <c r="C162" i="1"/>
  <c r="C173" i="1"/>
  <c r="C185" i="1"/>
  <c r="C196" i="1"/>
  <c r="C207" i="1"/>
  <c r="C218" i="1"/>
  <c r="C229" i="1"/>
  <c r="C240" i="1"/>
  <c r="C251" i="1"/>
  <c r="C262" i="1"/>
  <c r="C273" i="1"/>
  <c r="C285" i="1"/>
  <c r="C296" i="1"/>
  <c r="C307" i="1"/>
  <c r="C318" i="1"/>
  <c r="C241" i="1"/>
  <c r="C263" i="1"/>
  <c r="C297" i="1"/>
  <c r="C319" i="1"/>
  <c r="C20" i="1"/>
  <c r="C153" i="1"/>
  <c r="C265" i="1"/>
  <c r="C177" i="1"/>
  <c r="C199" i="1"/>
  <c r="C232" i="1"/>
  <c r="C266" i="1"/>
  <c r="C310" i="1"/>
  <c r="C83" i="1"/>
  <c r="C128" i="1"/>
  <c r="C183" i="1"/>
  <c r="C261" i="1"/>
  <c r="C19" i="1"/>
  <c r="C30" i="1"/>
  <c r="C41" i="1"/>
  <c r="C52" i="1"/>
  <c r="C63" i="1"/>
  <c r="C75" i="1"/>
  <c r="C86" i="1"/>
  <c r="C97" i="1"/>
  <c r="C108" i="1"/>
  <c r="C119" i="1"/>
  <c r="C130" i="1"/>
  <c r="C141" i="1"/>
  <c r="C152" i="1"/>
  <c r="C163" i="1"/>
  <c r="C175" i="1"/>
  <c r="C186" i="1"/>
  <c r="C197" i="1"/>
  <c r="C208" i="1"/>
  <c r="C219" i="1"/>
  <c r="C230" i="1"/>
  <c r="C252" i="1"/>
  <c r="C275" i="1"/>
  <c r="C286" i="1"/>
  <c r="C308" i="1"/>
  <c r="C42" i="1"/>
  <c r="C53" i="1"/>
  <c r="C65" i="1"/>
  <c r="C76" i="1"/>
  <c r="C87" i="1"/>
  <c r="C98" i="1"/>
  <c r="C109" i="1"/>
  <c r="C120" i="1"/>
  <c r="C131" i="1"/>
  <c r="C142" i="1"/>
  <c r="C165" i="1"/>
  <c r="C176" i="1"/>
  <c r="C187" i="1"/>
  <c r="C198" i="1"/>
  <c r="C209" i="1"/>
  <c r="C220" i="1"/>
  <c r="C231" i="1"/>
  <c r="C242" i="1"/>
  <c r="C253" i="1"/>
  <c r="C276" i="1"/>
  <c r="C287" i="1"/>
  <c r="C298" i="1"/>
  <c r="C309" i="1"/>
  <c r="C155" i="1"/>
  <c r="C210" i="1"/>
  <c r="C243" i="1"/>
  <c r="C277" i="1"/>
  <c r="C50" i="1"/>
  <c r="C161" i="1"/>
  <c r="C217" i="1"/>
  <c r="C239" i="1"/>
  <c r="C283" i="1"/>
  <c r="C295" i="1"/>
  <c r="C317" i="1"/>
  <c r="C320" i="1"/>
  <c r="C288" i="1"/>
  <c r="C28" i="1"/>
  <c r="C72" i="1"/>
  <c r="C117" i="1"/>
  <c r="C172" i="1"/>
  <c r="C250" i="1"/>
  <c r="C21" i="1"/>
  <c r="C32" i="1"/>
  <c r="C43" i="1"/>
  <c r="C55" i="1"/>
  <c r="C66" i="1"/>
  <c r="C77" i="1"/>
  <c r="C88" i="1"/>
  <c r="C99" i="1"/>
  <c r="C110" i="1"/>
  <c r="C121" i="1"/>
  <c r="C132" i="1"/>
  <c r="C143" i="1"/>
  <c r="C166" i="1"/>
  <c r="C188" i="1"/>
  <c r="C221" i="1"/>
  <c r="C255" i="1"/>
  <c r="C299" i="1"/>
  <c r="C17" i="1"/>
  <c r="C95" i="1"/>
  <c r="C139" i="1"/>
  <c r="C195" i="1"/>
  <c r="C272" i="1"/>
  <c r="C3" i="4"/>
  <c r="C13" i="4"/>
  <c r="C23" i="4"/>
  <c r="C33" i="4"/>
  <c r="C43" i="4"/>
  <c r="C53" i="4"/>
  <c r="C63" i="4"/>
  <c r="C73" i="4"/>
  <c r="C83" i="4"/>
  <c r="C93" i="4"/>
  <c r="C103" i="4"/>
  <c r="C113" i="4"/>
  <c r="C123" i="4"/>
  <c r="C133" i="4"/>
  <c r="C143" i="4"/>
  <c r="C153" i="4"/>
  <c r="C163" i="4"/>
  <c r="C173" i="4"/>
  <c r="C183" i="4"/>
  <c r="C193" i="4"/>
  <c r="C203" i="4"/>
  <c r="C213" i="4"/>
  <c r="C223" i="4"/>
  <c r="C233" i="4"/>
  <c r="C243" i="4"/>
  <c r="C253" i="4"/>
  <c r="C263" i="4"/>
  <c r="C273" i="4"/>
  <c r="C283" i="4"/>
  <c r="C293" i="4"/>
  <c r="C303" i="4"/>
  <c r="C313" i="4"/>
  <c r="C96" i="4"/>
  <c r="C206" i="4"/>
  <c r="C236" i="4"/>
  <c r="C256" i="4"/>
  <c r="C276" i="4"/>
  <c r="C296" i="4"/>
  <c r="C316" i="4"/>
  <c r="C7" i="4"/>
  <c r="C27" i="4"/>
  <c r="C37" i="4"/>
  <c r="C47" i="4"/>
  <c r="C57" i="4"/>
  <c r="C77" i="4"/>
  <c r="C97" i="4"/>
  <c r="C117" i="4"/>
  <c r="C137" i="4"/>
  <c r="C157" i="4"/>
  <c r="C177" i="4"/>
  <c r="C197" i="4"/>
  <c r="C207" i="4"/>
  <c r="C227" i="4"/>
  <c r="C247" i="4"/>
  <c r="C267" i="4"/>
  <c r="C287" i="4"/>
  <c r="C307" i="4"/>
  <c r="C29" i="4"/>
  <c r="C79" i="4"/>
  <c r="C119" i="4"/>
  <c r="C159" i="4"/>
  <c r="C189" i="4"/>
  <c r="C229" i="4"/>
  <c r="C269" i="4"/>
  <c r="C299" i="4"/>
  <c r="C10" i="4"/>
  <c r="C40" i="4"/>
  <c r="C70" i="4"/>
  <c r="C100" i="4"/>
  <c r="C130" i="4"/>
  <c r="C170" i="4"/>
  <c r="C200" i="4"/>
  <c r="C230" i="4"/>
  <c r="C260" i="4"/>
  <c r="C280" i="4"/>
  <c r="C310" i="4"/>
  <c r="C4" i="4"/>
  <c r="C14" i="4"/>
  <c r="C24" i="4"/>
  <c r="C34" i="4"/>
  <c r="C44" i="4"/>
  <c r="C54" i="4"/>
  <c r="C64" i="4"/>
  <c r="C74" i="4"/>
  <c r="C84" i="4"/>
  <c r="C94" i="4"/>
  <c r="C104" i="4"/>
  <c r="C114" i="4"/>
  <c r="C124" i="4"/>
  <c r="C134" i="4"/>
  <c r="C144" i="4"/>
  <c r="C154" i="4"/>
  <c r="C164" i="4"/>
  <c r="C174" i="4"/>
  <c r="C184" i="4"/>
  <c r="C194" i="4"/>
  <c r="C204" i="4"/>
  <c r="C214" i="4"/>
  <c r="C224" i="4"/>
  <c r="C234" i="4"/>
  <c r="C244" i="4"/>
  <c r="C254" i="4"/>
  <c r="C264" i="4"/>
  <c r="C274" i="4"/>
  <c r="C284" i="4"/>
  <c r="C294" i="4"/>
  <c r="C304" i="4"/>
  <c r="C314" i="4"/>
  <c r="C16" i="4"/>
  <c r="C26" i="4"/>
  <c r="C36" i="4"/>
  <c r="C46" i="4"/>
  <c r="C56" i="4"/>
  <c r="C66" i="4"/>
  <c r="C76" i="4"/>
  <c r="C86" i="4"/>
  <c r="C106" i="4"/>
  <c r="C116" i="4"/>
  <c r="C126" i="4"/>
  <c r="C136" i="4"/>
  <c r="C146" i="4"/>
  <c r="C156" i="4"/>
  <c r="C166" i="4"/>
  <c r="C176" i="4"/>
  <c r="C196" i="4"/>
  <c r="C216" i="4"/>
  <c r="C226" i="4"/>
  <c r="C246" i="4"/>
  <c r="C266" i="4"/>
  <c r="C286" i="4"/>
  <c r="C306" i="4"/>
  <c r="C18" i="4"/>
  <c r="C138" i="4"/>
  <c r="C178" i="4"/>
  <c r="C198" i="4"/>
  <c r="C218" i="4"/>
  <c r="C248" i="4"/>
  <c r="C268" i="4"/>
  <c r="C298" i="4"/>
  <c r="C318" i="4"/>
  <c r="C19" i="4"/>
  <c r="C59" i="4"/>
  <c r="C89" i="4"/>
  <c r="C129" i="4"/>
  <c r="C169" i="4"/>
  <c r="C209" i="4"/>
  <c r="C249" i="4"/>
  <c r="C279" i="4"/>
  <c r="C319" i="4"/>
  <c r="C20" i="4"/>
  <c r="C50" i="4"/>
  <c r="C80" i="4"/>
  <c r="C120" i="4"/>
  <c r="C150" i="4"/>
  <c r="C160" i="4"/>
  <c r="C190" i="4"/>
  <c r="C220" i="4"/>
  <c r="C250" i="4"/>
  <c r="C290" i="4"/>
  <c r="C320" i="4"/>
  <c r="C5" i="4"/>
  <c r="C15" i="4"/>
  <c r="C25" i="4"/>
  <c r="C35" i="4"/>
  <c r="C45" i="4"/>
  <c r="C55" i="4"/>
  <c r="C65" i="4"/>
  <c r="C75" i="4"/>
  <c r="C85" i="4"/>
  <c r="C95" i="4"/>
  <c r="C105" i="4"/>
  <c r="C115" i="4"/>
  <c r="C125" i="4"/>
  <c r="C135" i="4"/>
  <c r="C145" i="4"/>
  <c r="C155" i="4"/>
  <c r="C165" i="4"/>
  <c r="C175" i="4"/>
  <c r="C185" i="4"/>
  <c r="C195" i="4"/>
  <c r="C205" i="4"/>
  <c r="C215" i="4"/>
  <c r="C225" i="4"/>
  <c r="C235" i="4"/>
  <c r="C245" i="4"/>
  <c r="C255" i="4"/>
  <c r="C265" i="4"/>
  <c r="C275" i="4"/>
  <c r="C285" i="4"/>
  <c r="C295" i="4"/>
  <c r="C305" i="4"/>
  <c r="C315" i="4"/>
  <c r="C38" i="4"/>
  <c r="C228" i="4"/>
  <c r="C288" i="4"/>
  <c r="C39" i="4"/>
  <c r="C99" i="4"/>
  <c r="C139" i="4"/>
  <c r="C179" i="4"/>
  <c r="C219" i="4"/>
  <c r="C259" i="4"/>
  <c r="C309" i="4"/>
  <c r="C30" i="4"/>
  <c r="C60" i="4"/>
  <c r="C90" i="4"/>
  <c r="C110" i="4"/>
  <c r="C140" i="4"/>
  <c r="C180" i="4"/>
  <c r="C210" i="4"/>
  <c r="C240" i="4"/>
  <c r="C270" i="4"/>
  <c r="C300" i="4"/>
  <c r="C6" i="4"/>
  <c r="C12" i="4"/>
  <c r="C22" i="4"/>
  <c r="C32" i="4"/>
  <c r="C42" i="4"/>
  <c r="C52" i="4"/>
  <c r="C62" i="4"/>
  <c r="C72" i="4"/>
  <c r="C82" i="4"/>
  <c r="C92" i="4"/>
  <c r="C102" i="4"/>
  <c r="C112" i="4"/>
  <c r="C122" i="4"/>
  <c r="C132" i="4"/>
  <c r="C142" i="4"/>
  <c r="C152" i="4"/>
  <c r="C162" i="4"/>
  <c r="C172" i="4"/>
  <c r="C182" i="4"/>
  <c r="C192" i="4"/>
  <c r="C202" i="4"/>
  <c r="C212" i="4"/>
  <c r="C222" i="4"/>
  <c r="C232" i="4"/>
  <c r="C242" i="4"/>
  <c r="C252" i="4"/>
  <c r="C262" i="4"/>
  <c r="C272" i="4"/>
  <c r="C282" i="4"/>
  <c r="C292" i="4"/>
  <c r="C302" i="4"/>
  <c r="C312" i="4"/>
  <c r="C186" i="4"/>
  <c r="C17" i="4"/>
  <c r="C67" i="4"/>
  <c r="C87" i="4"/>
  <c r="C107" i="4"/>
  <c r="C127" i="4"/>
  <c r="C147" i="4"/>
  <c r="C167" i="4"/>
  <c r="C187" i="4"/>
  <c r="C217" i="4"/>
  <c r="C237" i="4"/>
  <c r="C257" i="4"/>
  <c r="C277" i="4"/>
  <c r="C297" i="4"/>
  <c r="C317" i="4"/>
  <c r="C8" i="4"/>
  <c r="C28" i="4"/>
  <c r="C48" i="4"/>
  <c r="C58" i="4"/>
  <c r="C68" i="4"/>
  <c r="C78" i="4"/>
  <c r="C88" i="4"/>
  <c r="C98" i="4"/>
  <c r="C108" i="4"/>
  <c r="C118" i="4"/>
  <c r="C128" i="4"/>
  <c r="C148" i="4"/>
  <c r="C158" i="4"/>
  <c r="C168" i="4"/>
  <c r="C188" i="4"/>
  <c r="C208" i="4"/>
  <c r="C238" i="4"/>
  <c r="C258" i="4"/>
  <c r="C278" i="4"/>
  <c r="C308" i="4"/>
  <c r="C9" i="4"/>
  <c r="C49" i="4"/>
  <c r="C69" i="4"/>
  <c r="C109" i="4"/>
  <c r="C149" i="4"/>
  <c r="C199" i="4"/>
  <c r="C239" i="4"/>
  <c r="C289" i="4"/>
  <c r="C271" i="4"/>
  <c r="C171" i="4"/>
  <c r="C71" i="4"/>
  <c r="C261" i="4"/>
  <c r="C161" i="4"/>
  <c r="C61" i="4"/>
  <c r="C251" i="4"/>
  <c r="C151" i="4"/>
  <c r="C51" i="4"/>
  <c r="C241" i="4"/>
  <c r="C141" i="4"/>
  <c r="C41" i="4"/>
  <c r="C231" i="4"/>
  <c r="C131" i="4"/>
  <c r="C31" i="4"/>
  <c r="C2" i="4"/>
  <c r="C221" i="4"/>
  <c r="C121" i="4"/>
  <c r="C21" i="4"/>
  <c r="C311" i="4"/>
  <c r="C211" i="4"/>
  <c r="C111" i="4"/>
  <c r="C11" i="4"/>
  <c r="C320" i="3"/>
  <c r="C310" i="3"/>
  <c r="C300" i="3"/>
  <c r="C290" i="3"/>
  <c r="C280" i="3"/>
  <c r="C270" i="3"/>
  <c r="C260" i="3"/>
  <c r="C250" i="3"/>
  <c r="C240" i="3"/>
  <c r="C230" i="3"/>
  <c r="C220" i="3"/>
  <c r="C210" i="3"/>
  <c r="C200" i="3"/>
  <c r="C190" i="3"/>
  <c r="C319" i="3"/>
  <c r="C309" i="3"/>
  <c r="C299" i="3"/>
  <c r="C289" i="3"/>
  <c r="C279" i="3"/>
  <c r="C269" i="3"/>
  <c r="C259" i="3"/>
  <c r="C249" i="3"/>
  <c r="C239" i="3"/>
  <c r="C229" i="3"/>
  <c r="C219" i="3"/>
  <c r="C209" i="3"/>
  <c r="C199" i="3"/>
  <c r="C189" i="3"/>
  <c r="C182" i="3"/>
  <c r="C180" i="3"/>
  <c r="C178" i="3"/>
  <c r="C176" i="3"/>
  <c r="C174" i="3"/>
  <c r="C172" i="3"/>
  <c r="C170" i="3"/>
  <c r="C168" i="3"/>
  <c r="C166" i="3"/>
  <c r="C164" i="3"/>
  <c r="C162" i="3"/>
  <c r="C160" i="3"/>
  <c r="C158" i="3"/>
  <c r="C156" i="3"/>
  <c r="C154" i="3"/>
  <c r="C152" i="3"/>
  <c r="C150" i="3"/>
  <c r="C148" i="3"/>
  <c r="C146" i="3"/>
  <c r="C144" i="3"/>
  <c r="C142" i="3"/>
  <c r="C140" i="3"/>
  <c r="C138" i="3"/>
  <c r="C318" i="3"/>
  <c r="C308" i="3"/>
  <c r="C298" i="3"/>
  <c r="C288" i="3"/>
  <c r="C278" i="3"/>
  <c r="C268" i="3"/>
  <c r="C258" i="3"/>
  <c r="C248" i="3"/>
  <c r="C238" i="3"/>
  <c r="C228" i="3"/>
  <c r="C218" i="3"/>
  <c r="C208" i="3"/>
  <c r="C198" i="3"/>
  <c r="C188" i="3"/>
  <c r="C317" i="3"/>
  <c r="C316" i="3"/>
  <c r="C315" i="3"/>
  <c r="C314" i="3"/>
  <c r="C313" i="3"/>
  <c r="C312" i="3"/>
  <c r="C302" i="3"/>
  <c r="C292" i="3"/>
  <c r="C282" i="3"/>
  <c r="C272" i="3"/>
  <c r="C262" i="3"/>
  <c r="C252" i="3"/>
  <c r="C311" i="3"/>
  <c r="C307" i="3"/>
  <c r="C293" i="3"/>
  <c r="C275" i="3"/>
  <c r="C257" i="3"/>
  <c r="C243" i="3"/>
  <c r="C227" i="3"/>
  <c r="C214" i="3"/>
  <c r="C201" i="3"/>
  <c r="C173" i="3"/>
  <c r="C163" i="3"/>
  <c r="C153" i="3"/>
  <c r="C143" i="3"/>
  <c r="C129" i="3"/>
  <c r="C118" i="3"/>
  <c r="C109" i="3"/>
  <c r="C98" i="3"/>
  <c r="C89" i="3"/>
  <c r="C78" i="3"/>
  <c r="C69" i="3"/>
  <c r="C58" i="3"/>
  <c r="C49" i="3"/>
  <c r="C306" i="3"/>
  <c r="C291" i="3"/>
  <c r="C274" i="3"/>
  <c r="C256" i="3"/>
  <c r="C242" i="3"/>
  <c r="C226" i="3"/>
  <c r="C213" i="3"/>
  <c r="C197" i="3"/>
  <c r="C185" i="3"/>
  <c r="C131" i="3"/>
  <c r="C120" i="3"/>
  <c r="C111" i="3"/>
  <c r="C100" i="3"/>
  <c r="C91" i="3"/>
  <c r="C80" i="3"/>
  <c r="C71" i="3"/>
  <c r="C60" i="3"/>
  <c r="C51" i="3"/>
  <c r="C40" i="3"/>
  <c r="C38" i="3"/>
  <c r="C36" i="3"/>
  <c r="C34" i="3"/>
  <c r="C32" i="3"/>
  <c r="C30" i="3"/>
  <c r="C28" i="3"/>
  <c r="C26" i="3"/>
  <c r="C24" i="3"/>
  <c r="C22" i="3"/>
  <c r="C20" i="3"/>
  <c r="C18" i="3"/>
  <c r="C16" i="3"/>
  <c r="C14" i="3"/>
  <c r="C305" i="3"/>
  <c r="C287" i="3"/>
  <c r="C273" i="3"/>
  <c r="C255" i="3"/>
  <c r="C241" i="3"/>
  <c r="C225" i="3"/>
  <c r="C212" i="3"/>
  <c r="C196" i="3"/>
  <c r="C184" i="3"/>
  <c r="C175" i="3"/>
  <c r="C165" i="3"/>
  <c r="C155" i="3"/>
  <c r="C145" i="3"/>
  <c r="C133" i="3"/>
  <c r="C122" i="3"/>
  <c r="C113" i="3"/>
  <c r="C102" i="3"/>
  <c r="C93" i="3"/>
  <c r="C82" i="3"/>
  <c r="C73" i="3"/>
  <c r="C62" i="3"/>
  <c r="C53" i="3"/>
  <c r="C304" i="3"/>
  <c r="C286" i="3"/>
  <c r="C271" i="3"/>
  <c r="C254" i="3"/>
  <c r="C237" i="3"/>
  <c r="C224" i="3"/>
  <c r="C211" i="3"/>
  <c r="C195" i="3"/>
  <c r="C183" i="3"/>
  <c r="C303" i="3"/>
  <c r="C285" i="3"/>
  <c r="C267" i="3"/>
  <c r="C253" i="3"/>
  <c r="C236" i="3"/>
  <c r="C223" i="3"/>
  <c r="C207" i="3"/>
  <c r="C194" i="3"/>
  <c r="C177" i="3"/>
  <c r="C167" i="3"/>
  <c r="C157" i="3"/>
  <c r="C147" i="3"/>
  <c r="C301" i="3"/>
  <c r="C284" i="3"/>
  <c r="C266" i="3"/>
  <c r="C251" i="3"/>
  <c r="C235" i="3"/>
  <c r="C222" i="3"/>
  <c r="C206" i="3"/>
  <c r="C193" i="3"/>
  <c r="C297" i="3"/>
  <c r="C283" i="3"/>
  <c r="C265" i="3"/>
  <c r="C247" i="3"/>
  <c r="C234" i="3"/>
  <c r="C221" i="3"/>
  <c r="C205" i="3"/>
  <c r="C192" i="3"/>
  <c r="C179" i="3"/>
  <c r="C169" i="3"/>
  <c r="C159" i="3"/>
  <c r="C149" i="3"/>
  <c r="C139" i="3"/>
  <c r="C296" i="3"/>
  <c r="C281" i="3"/>
  <c r="C264" i="3"/>
  <c r="C246" i="3"/>
  <c r="C233" i="3"/>
  <c r="C217" i="3"/>
  <c r="C204" i="3"/>
  <c r="C191" i="3"/>
  <c r="C295" i="3"/>
  <c r="C277" i="3"/>
  <c r="C263" i="3"/>
  <c r="C245" i="3"/>
  <c r="C232" i="3"/>
  <c r="C216" i="3"/>
  <c r="C203" i="3"/>
  <c r="C187" i="3"/>
  <c r="C181" i="3"/>
  <c r="C171" i="3"/>
  <c r="C161" i="3"/>
  <c r="C151" i="3"/>
  <c r="C141" i="3"/>
  <c r="C294" i="3"/>
  <c r="C276" i="3"/>
  <c r="C261" i="3"/>
  <c r="C244" i="3"/>
  <c r="C231" i="3"/>
  <c r="C215" i="3"/>
  <c r="C202" i="3"/>
  <c r="C186" i="3"/>
  <c r="C136" i="3"/>
  <c r="C127" i="3"/>
  <c r="C116" i="3"/>
  <c r="C107" i="3"/>
  <c r="C96" i="3"/>
  <c r="C135" i="3"/>
  <c r="C87" i="3"/>
  <c r="C77" i="3"/>
  <c r="C52" i="3"/>
  <c r="C35" i="3"/>
  <c r="C15" i="3"/>
  <c r="C17" i="3"/>
  <c r="C76" i="3"/>
  <c r="C66" i="3"/>
  <c r="C63" i="3"/>
  <c r="C50" i="3"/>
  <c r="C105" i="3"/>
  <c r="C101" i="3"/>
  <c r="C97" i="3"/>
  <c r="C94" i="3"/>
  <c r="C90" i="3"/>
  <c r="C74" i="3"/>
  <c r="C64" i="3"/>
  <c r="C61" i="3"/>
  <c r="C37" i="3"/>
  <c r="C23" i="3"/>
  <c r="C41" i="3"/>
  <c r="C123" i="3"/>
  <c r="C119" i="3"/>
  <c r="C115" i="3"/>
  <c r="C112" i="3"/>
  <c r="C108" i="3"/>
  <c r="C104" i="3"/>
  <c r="C86" i="3"/>
  <c r="C83" i="3"/>
  <c r="C48" i="3"/>
  <c r="C45" i="3"/>
  <c r="C19" i="3"/>
  <c r="C27" i="3"/>
  <c r="C130" i="3"/>
  <c r="C126" i="3"/>
  <c r="C70" i="3"/>
  <c r="C67" i="3"/>
  <c r="C57" i="3"/>
  <c r="C39" i="3"/>
  <c r="C134" i="3"/>
  <c r="C79" i="3"/>
  <c r="C54" i="3"/>
  <c r="C44" i="3"/>
  <c r="C103" i="3"/>
  <c r="C99" i="3"/>
  <c r="C95" i="3"/>
  <c r="C92" i="3"/>
  <c r="C88" i="3"/>
  <c r="C85" i="3"/>
  <c r="C75" i="3"/>
  <c r="C47" i="3"/>
  <c r="C137" i="3"/>
  <c r="C125" i="3"/>
  <c r="C121" i="3"/>
  <c r="C117" i="3"/>
  <c r="C114" i="3"/>
  <c r="C110" i="3"/>
  <c r="C106" i="3"/>
  <c r="C72" i="3"/>
  <c r="C59" i="3"/>
  <c r="C29" i="3"/>
  <c r="C132" i="3"/>
  <c r="C128" i="3"/>
  <c r="C124" i="3"/>
  <c r="C84" i="3"/>
  <c r="C81" i="3"/>
  <c r="C56" i="3"/>
  <c r="C46" i="3"/>
  <c r="C43" i="3"/>
  <c r="C31" i="3"/>
  <c r="C68" i="3"/>
  <c r="C65" i="3"/>
  <c r="C55" i="3"/>
  <c r="C33" i="3"/>
  <c r="C13" i="3"/>
  <c r="C42" i="3"/>
  <c r="C21" i="3"/>
  <c r="C25" i="3"/>
  <c r="F2" i="5" l="1" a="1"/>
  <c r="F2" i="1" a="1"/>
  <c r="F2" i="1" s="1"/>
  <c r="G2" i="1" s="1" a="1"/>
  <c r="G2" i="1" s="1"/>
  <c r="AA2" i="1" s="1" a="1"/>
  <c r="AA2" i="1" s="1"/>
  <c r="F2" i="3" a="1"/>
  <c r="G185" i="3" s="1" a="1"/>
  <c r="G185" i="3" s="1"/>
  <c r="AA185" i="3" s="1" a="1"/>
  <c r="AA185" i="3" s="1"/>
  <c r="F2" i="4" a="1"/>
  <c r="G182" i="5" l="1" a="1"/>
  <c r="G182" i="5" s="1"/>
  <c r="G172" i="5" a="1"/>
  <c r="G172" i="5" s="1"/>
  <c r="AA172" i="5" s="1" a="1"/>
  <c r="AA172" i="5" s="1"/>
  <c r="G162" i="5" a="1"/>
  <c r="G162" i="5" s="1"/>
  <c r="AA162" i="5" s="1" a="1"/>
  <c r="AA162" i="5" s="1"/>
  <c r="G152" i="5" a="1"/>
  <c r="G152" i="5" s="1"/>
  <c r="AA152" i="5" s="1" a="1"/>
  <c r="AA152" i="5" s="1"/>
  <c r="G142" i="5" a="1"/>
  <c r="G142" i="5" s="1"/>
  <c r="AA142" i="5" s="1" a="1"/>
  <c r="AA142" i="5" s="1"/>
  <c r="G132" i="5" a="1"/>
  <c r="G132" i="5" s="1"/>
  <c r="AA132" i="5" s="1" a="1"/>
  <c r="AA132" i="5" s="1"/>
  <c r="G127" i="5" a="1"/>
  <c r="G127" i="5" s="1"/>
  <c r="AA127" i="5" s="1" a="1"/>
  <c r="AA127" i="5" s="1"/>
  <c r="G116" i="5" a="1"/>
  <c r="G116" i="5" s="1"/>
  <c r="AA116" i="5" s="1" a="1"/>
  <c r="AA116" i="5" s="1"/>
  <c r="G107" i="5" a="1"/>
  <c r="G107" i="5" s="1"/>
  <c r="AA107" i="5" s="1" a="1"/>
  <c r="AA107" i="5" s="1"/>
  <c r="G96" i="5" a="1"/>
  <c r="G96" i="5" s="1"/>
  <c r="AA96" i="5" s="1" a="1"/>
  <c r="AA96" i="5" s="1"/>
  <c r="G87" i="5" a="1"/>
  <c r="G87" i="5" s="1"/>
  <c r="AA87" i="5" s="1" a="1"/>
  <c r="AA87" i="5" s="1"/>
  <c r="G76" i="5" a="1"/>
  <c r="G76" i="5" s="1"/>
  <c r="AA76" i="5" s="1" a="1"/>
  <c r="AA76" i="5" s="1"/>
  <c r="G67" i="5" a="1"/>
  <c r="G67" i="5" s="1"/>
  <c r="AA67" i="5" s="1" a="1"/>
  <c r="AA67" i="5" s="1"/>
  <c r="G56" i="5" a="1"/>
  <c r="G56" i="5" s="1"/>
  <c r="AA56" i="5" s="1" a="1"/>
  <c r="AA56" i="5" s="1"/>
  <c r="G47" i="5" a="1"/>
  <c r="G47" i="5" s="1"/>
  <c r="AA47" i="5" s="1" a="1"/>
  <c r="AA47" i="5" s="1"/>
  <c r="G179" i="5" a="1"/>
  <c r="G179" i="5" s="1"/>
  <c r="AA179" i="5" s="1" a="1"/>
  <c r="AA179" i="5" s="1"/>
  <c r="G169" i="5" a="1"/>
  <c r="G169" i="5" s="1"/>
  <c r="AA169" i="5" s="1" a="1"/>
  <c r="AA169" i="5" s="1"/>
  <c r="G159" i="5" a="1"/>
  <c r="G159" i="5" s="1"/>
  <c r="AA159" i="5" s="1" a="1"/>
  <c r="AA159" i="5" s="1"/>
  <c r="G149" i="5" a="1"/>
  <c r="G149" i="5" s="1"/>
  <c r="AA149" i="5" s="1" a="1"/>
  <c r="AA149" i="5" s="1"/>
  <c r="G139" i="5" a="1"/>
  <c r="G139" i="5" s="1"/>
  <c r="AA139" i="5" s="1" a="1"/>
  <c r="AA139" i="5" s="1"/>
  <c r="G129" i="5" a="1"/>
  <c r="G129" i="5" s="1"/>
  <c r="AA129" i="5" s="1" a="1"/>
  <c r="AA129" i="5" s="1"/>
  <c r="G118" i="5" a="1"/>
  <c r="G118" i="5" s="1"/>
  <c r="AA118" i="5" s="1" a="1"/>
  <c r="AA118" i="5" s="1"/>
  <c r="G109" i="5" a="1"/>
  <c r="G109" i="5" s="1"/>
  <c r="AA109" i="5" s="1" a="1"/>
  <c r="AA109" i="5" s="1"/>
  <c r="G98" i="5" a="1"/>
  <c r="G98" i="5" s="1"/>
  <c r="AA98" i="5" s="1" a="1"/>
  <c r="AA98" i="5" s="1"/>
  <c r="G89" i="5" a="1"/>
  <c r="G89" i="5" s="1"/>
  <c r="AA89" i="5" s="1" a="1"/>
  <c r="AA89" i="5" s="1"/>
  <c r="G78" i="5" a="1"/>
  <c r="G78" i="5" s="1"/>
  <c r="AA78" i="5" s="1" a="1"/>
  <c r="AA78" i="5" s="1"/>
  <c r="G69" i="5" a="1"/>
  <c r="G69" i="5" s="1"/>
  <c r="AA69" i="5" s="1" a="1"/>
  <c r="AA69" i="5" s="1"/>
  <c r="G58" i="5" a="1"/>
  <c r="G58" i="5" s="1"/>
  <c r="AA58" i="5" s="1" a="1"/>
  <c r="AA58" i="5" s="1"/>
  <c r="G49" i="5" a="1"/>
  <c r="G49" i="5" s="1"/>
  <c r="AA49" i="5" s="1" a="1"/>
  <c r="AA49" i="5" s="1"/>
  <c r="G30" i="5" a="1"/>
  <c r="G30" i="5" s="1"/>
  <c r="AA30" i="5" s="1" a="1"/>
  <c r="AA30" i="5" s="1"/>
  <c r="G174" i="5" a="1"/>
  <c r="G174" i="5" s="1"/>
  <c r="AA174" i="5" s="1" a="1"/>
  <c r="AA174" i="5" s="1"/>
  <c r="G164" i="5" a="1"/>
  <c r="G164" i="5" s="1"/>
  <c r="AA164" i="5" s="1" a="1"/>
  <c r="AA164" i="5" s="1"/>
  <c r="G154" i="5" a="1"/>
  <c r="G154" i="5" s="1"/>
  <c r="AA154" i="5" s="1" a="1"/>
  <c r="AA154" i="5" s="1"/>
  <c r="G144" i="5" a="1"/>
  <c r="G144" i="5" s="1"/>
  <c r="AA144" i="5" s="1" a="1"/>
  <c r="AA144" i="5" s="1"/>
  <c r="G134" i="5" a="1"/>
  <c r="G134" i="5" s="1"/>
  <c r="AA134" i="5" s="1" a="1"/>
  <c r="AA134" i="5" s="1"/>
  <c r="G120" i="5" a="1"/>
  <c r="G120" i="5" s="1"/>
  <c r="AA120" i="5" s="1" a="1"/>
  <c r="AA120" i="5" s="1"/>
  <c r="G111" i="5" a="1"/>
  <c r="G111" i="5" s="1"/>
  <c r="AA111" i="5" s="1" a="1"/>
  <c r="AA111" i="5" s="1"/>
  <c r="G100" i="5" a="1"/>
  <c r="G100" i="5" s="1"/>
  <c r="AA100" i="5" s="1" a="1"/>
  <c r="AA100" i="5" s="1"/>
  <c r="G91" i="5" a="1"/>
  <c r="G91" i="5" s="1"/>
  <c r="AA91" i="5" s="1" a="1"/>
  <c r="AA91" i="5" s="1"/>
  <c r="G80" i="5" a="1"/>
  <c r="G80" i="5" s="1"/>
  <c r="AA80" i="5" s="1" a="1"/>
  <c r="AA80" i="5" s="1"/>
  <c r="G71" i="5" a="1"/>
  <c r="G71" i="5" s="1"/>
  <c r="AA71" i="5" s="1" a="1"/>
  <c r="AA71" i="5" s="1"/>
  <c r="G60" i="5" a="1"/>
  <c r="G60" i="5" s="1"/>
  <c r="AA60" i="5" s="1" a="1"/>
  <c r="AA60" i="5" s="1"/>
  <c r="G51" i="5" a="1"/>
  <c r="G51" i="5" s="1"/>
  <c r="AA51" i="5" s="1" a="1"/>
  <c r="AA51" i="5" s="1"/>
  <c r="G40" i="5" a="1"/>
  <c r="G40" i="5" s="1"/>
  <c r="AA40" i="5" s="1" a="1"/>
  <c r="AA40" i="5" s="1"/>
  <c r="G38" i="5" a="1"/>
  <c r="G38" i="5" s="1"/>
  <c r="AA38" i="5" s="1" a="1"/>
  <c r="AA38" i="5" s="1"/>
  <c r="G171" i="5" a="1"/>
  <c r="G171" i="5" s="1"/>
  <c r="AA171" i="5" s="1" a="1"/>
  <c r="AA171" i="5" s="1"/>
  <c r="G161" i="5" a="1"/>
  <c r="G161" i="5" s="1"/>
  <c r="AA161" i="5" s="1" a="1"/>
  <c r="AA161" i="5" s="1"/>
  <c r="G151" i="5" a="1"/>
  <c r="G151" i="5" s="1"/>
  <c r="AA151" i="5" s="1" a="1"/>
  <c r="AA151" i="5" s="1"/>
  <c r="G141" i="5" a="1"/>
  <c r="G141" i="5" s="1"/>
  <c r="AA141" i="5" s="1" a="1"/>
  <c r="AA141" i="5" s="1"/>
  <c r="G131" i="5" a="1"/>
  <c r="G131" i="5" s="1"/>
  <c r="AA131" i="5" s="1" a="1"/>
  <c r="AA131" i="5" s="1"/>
  <c r="G122" i="5" a="1"/>
  <c r="G122" i="5" s="1"/>
  <c r="AA122" i="5" s="1" a="1"/>
  <c r="AA122" i="5" s="1"/>
  <c r="G113" i="5" a="1"/>
  <c r="G113" i="5" s="1"/>
  <c r="AA113" i="5" s="1" a="1"/>
  <c r="AA113" i="5" s="1"/>
  <c r="G102" i="5" a="1"/>
  <c r="G102" i="5" s="1"/>
  <c r="AA102" i="5" s="1" a="1"/>
  <c r="AA102" i="5" s="1"/>
  <c r="G93" i="5" a="1"/>
  <c r="G93" i="5" s="1"/>
  <c r="AA93" i="5" s="1" a="1"/>
  <c r="AA93" i="5" s="1"/>
  <c r="G82" i="5" a="1"/>
  <c r="G82" i="5" s="1"/>
  <c r="AA82" i="5" s="1" a="1"/>
  <c r="AA82" i="5" s="1"/>
  <c r="G73" i="5" a="1"/>
  <c r="G73" i="5" s="1"/>
  <c r="AA73" i="5" s="1" a="1"/>
  <c r="AA73" i="5" s="1"/>
  <c r="G62" i="5" a="1"/>
  <c r="G62" i="5" s="1"/>
  <c r="AA62" i="5" s="1" a="1"/>
  <c r="AA62" i="5" s="1"/>
  <c r="G181" i="5" a="1"/>
  <c r="G181" i="5" s="1"/>
  <c r="AA181" i="5" s="1" a="1"/>
  <c r="AA181" i="5" s="1"/>
  <c r="G176" i="5" a="1"/>
  <c r="G176" i="5" s="1"/>
  <c r="AA176" i="5" s="1" a="1"/>
  <c r="AA176" i="5" s="1"/>
  <c r="G166" i="5" a="1"/>
  <c r="G166" i="5" s="1"/>
  <c r="AA166" i="5" s="1" a="1"/>
  <c r="AA166" i="5" s="1"/>
  <c r="G156" i="5" a="1"/>
  <c r="G156" i="5" s="1"/>
  <c r="AA156" i="5" s="1" a="1"/>
  <c r="AA156" i="5" s="1"/>
  <c r="G146" i="5" a="1"/>
  <c r="G146" i="5" s="1"/>
  <c r="AA146" i="5" s="1" a="1"/>
  <c r="AA146" i="5" s="1"/>
  <c r="G136" i="5" a="1"/>
  <c r="G136" i="5" s="1"/>
  <c r="AA136" i="5" s="1" a="1"/>
  <c r="AA136" i="5" s="1"/>
  <c r="G124" i="5" a="1"/>
  <c r="G124" i="5" s="1"/>
  <c r="AA124" i="5" s="1" a="1"/>
  <c r="AA124" i="5" s="1"/>
  <c r="G115" i="5" a="1"/>
  <c r="G115" i="5" s="1"/>
  <c r="AA115" i="5" s="1" a="1"/>
  <c r="AA115" i="5" s="1"/>
  <c r="G104" i="5" a="1"/>
  <c r="G104" i="5" s="1"/>
  <c r="AA104" i="5" s="1" a="1"/>
  <c r="AA104" i="5" s="1"/>
  <c r="G95" i="5" a="1"/>
  <c r="G95" i="5" s="1"/>
  <c r="AA95" i="5" s="1" a="1"/>
  <c r="AA95" i="5" s="1"/>
  <c r="G173" i="5" a="1"/>
  <c r="G173" i="5" s="1"/>
  <c r="AA173" i="5" s="1" a="1"/>
  <c r="AA173" i="5" s="1"/>
  <c r="G163" i="5" a="1"/>
  <c r="G163" i="5" s="1"/>
  <c r="AA163" i="5" s="1" a="1"/>
  <c r="AA163" i="5" s="1"/>
  <c r="G153" i="5" a="1"/>
  <c r="G153" i="5" s="1"/>
  <c r="AA153" i="5" s="1" a="1"/>
  <c r="AA153" i="5" s="1"/>
  <c r="G143" i="5" a="1"/>
  <c r="G143" i="5" s="1"/>
  <c r="AA143" i="5" s="1" a="1"/>
  <c r="AA143" i="5" s="1"/>
  <c r="G133" i="5" a="1"/>
  <c r="G133" i="5" s="1"/>
  <c r="AA133" i="5" s="1" a="1"/>
  <c r="AA133" i="5" s="1"/>
  <c r="G126" i="5" a="1"/>
  <c r="G126" i="5" s="1"/>
  <c r="AA126" i="5" s="1" a="1"/>
  <c r="AA126" i="5" s="1"/>
  <c r="G117" i="5" a="1"/>
  <c r="G117" i="5" s="1"/>
  <c r="AA117" i="5" s="1" a="1"/>
  <c r="AA117" i="5" s="1"/>
  <c r="G106" i="5" a="1"/>
  <c r="G106" i="5" s="1"/>
  <c r="AA106" i="5" s="1" a="1"/>
  <c r="AA106" i="5" s="1"/>
  <c r="G97" i="5" a="1"/>
  <c r="G97" i="5" s="1"/>
  <c r="AA97" i="5" s="1" a="1"/>
  <c r="AA97" i="5" s="1"/>
  <c r="G86" i="5" a="1"/>
  <c r="G86" i="5" s="1"/>
  <c r="AA86" i="5" s="1" a="1"/>
  <c r="AA86" i="5" s="1"/>
  <c r="G178" i="5" a="1"/>
  <c r="G178" i="5" s="1"/>
  <c r="AA178" i="5" s="1" a="1"/>
  <c r="AA178" i="5" s="1"/>
  <c r="G168" i="5" a="1"/>
  <c r="G168" i="5" s="1"/>
  <c r="AA168" i="5" s="1" a="1"/>
  <c r="AA168" i="5" s="1"/>
  <c r="G158" i="5" a="1"/>
  <c r="G158" i="5" s="1"/>
  <c r="AA158" i="5" s="1" a="1"/>
  <c r="AA158" i="5" s="1"/>
  <c r="G148" i="5" a="1"/>
  <c r="G148" i="5" s="1"/>
  <c r="AA148" i="5" s="1" a="1"/>
  <c r="AA148" i="5" s="1"/>
  <c r="G138" i="5" a="1"/>
  <c r="G138" i="5" s="1"/>
  <c r="AA138" i="5" s="1" a="1"/>
  <c r="AA138" i="5" s="1"/>
  <c r="G128" i="5" a="1"/>
  <c r="G128" i="5" s="1"/>
  <c r="AA128" i="5" s="1" a="1"/>
  <c r="AA128" i="5" s="1"/>
  <c r="G119" i="5" a="1"/>
  <c r="G119" i="5" s="1"/>
  <c r="AA119" i="5" s="1" a="1"/>
  <c r="AA119" i="5" s="1"/>
  <c r="G108" i="5" a="1"/>
  <c r="G108" i="5" s="1"/>
  <c r="AA108" i="5" s="1" a="1"/>
  <c r="AA108" i="5" s="1"/>
  <c r="G99" i="5" a="1"/>
  <c r="G99" i="5" s="1"/>
  <c r="AA99" i="5" s="1" a="1"/>
  <c r="AA99" i="5" s="1"/>
  <c r="G175" i="5" a="1"/>
  <c r="G175" i="5" s="1"/>
  <c r="AA175" i="5" s="1" a="1"/>
  <c r="AA175" i="5" s="1"/>
  <c r="G165" i="5" a="1"/>
  <c r="G165" i="5" s="1"/>
  <c r="AA165" i="5" s="1" a="1"/>
  <c r="AA165" i="5" s="1"/>
  <c r="G155" i="5" a="1"/>
  <c r="G155" i="5" s="1"/>
  <c r="AA155" i="5" s="1" a="1"/>
  <c r="AA155" i="5" s="1"/>
  <c r="G145" i="5" a="1"/>
  <c r="G145" i="5" s="1"/>
  <c r="AA145" i="5" s="1" a="1"/>
  <c r="AA145" i="5" s="1"/>
  <c r="G135" i="5" a="1"/>
  <c r="G135" i="5" s="1"/>
  <c r="AA135" i="5" s="1" a="1"/>
  <c r="AA135" i="5" s="1"/>
  <c r="G121" i="5" a="1"/>
  <c r="G121" i="5" s="1"/>
  <c r="AA121" i="5" s="1" a="1"/>
  <c r="AA121" i="5" s="1"/>
  <c r="G110" i="5" a="1"/>
  <c r="G110" i="5" s="1"/>
  <c r="AA110" i="5" s="1" a="1"/>
  <c r="AA110" i="5" s="1"/>
  <c r="G101" i="5" a="1"/>
  <c r="G101" i="5" s="1"/>
  <c r="AA101" i="5" s="1" a="1"/>
  <c r="AA101" i="5" s="1"/>
  <c r="G90" i="5" a="1"/>
  <c r="G90" i="5" s="1"/>
  <c r="AA90" i="5" s="1" a="1"/>
  <c r="AA90" i="5" s="1"/>
  <c r="G81" i="5" a="1"/>
  <c r="G81" i="5" s="1"/>
  <c r="AA81" i="5" s="1" a="1"/>
  <c r="AA81" i="5" s="1"/>
  <c r="G180" i="5" a="1"/>
  <c r="G180" i="5" s="1"/>
  <c r="AA180" i="5" s="1" a="1"/>
  <c r="AA180" i="5" s="1"/>
  <c r="G170" i="5" a="1"/>
  <c r="G170" i="5" s="1"/>
  <c r="AA170" i="5" s="1" a="1"/>
  <c r="AA170" i="5" s="1"/>
  <c r="G160" i="5" a="1"/>
  <c r="G160" i="5" s="1"/>
  <c r="AA160" i="5" s="1" a="1"/>
  <c r="AA160" i="5" s="1"/>
  <c r="G150" i="5" a="1"/>
  <c r="G150" i="5" s="1"/>
  <c r="AA150" i="5" s="1" a="1"/>
  <c r="AA150" i="5" s="1"/>
  <c r="G140" i="5" a="1"/>
  <c r="G140" i="5" s="1"/>
  <c r="AA140" i="5" s="1" a="1"/>
  <c r="AA140" i="5" s="1"/>
  <c r="G130" i="5" a="1"/>
  <c r="G130" i="5" s="1"/>
  <c r="AA130" i="5" s="1" a="1"/>
  <c r="AA130" i="5" s="1"/>
  <c r="G123" i="5" a="1"/>
  <c r="G123" i="5" s="1"/>
  <c r="AA123" i="5" s="1" a="1"/>
  <c r="AA123" i="5" s="1"/>
  <c r="G112" i="5" a="1"/>
  <c r="G112" i="5" s="1"/>
  <c r="AA112" i="5" s="1" a="1"/>
  <c r="AA112" i="5" s="1"/>
  <c r="G103" i="5" a="1"/>
  <c r="G103" i="5" s="1"/>
  <c r="AA103" i="5" s="1" a="1"/>
  <c r="AA103" i="5" s="1"/>
  <c r="G92" i="5" a="1"/>
  <c r="G92" i="5" s="1"/>
  <c r="AA92" i="5" s="1" a="1"/>
  <c r="AA92" i="5" s="1"/>
  <c r="G177" i="5" a="1"/>
  <c r="G177" i="5" s="1"/>
  <c r="AA177" i="5" s="1" a="1"/>
  <c r="AA177" i="5" s="1"/>
  <c r="G167" i="5" a="1"/>
  <c r="G167" i="5" s="1"/>
  <c r="AA167" i="5" s="1" a="1"/>
  <c r="AA167" i="5" s="1"/>
  <c r="G157" i="5" a="1"/>
  <c r="G157" i="5" s="1"/>
  <c r="AA157" i="5" s="1" a="1"/>
  <c r="AA157" i="5" s="1"/>
  <c r="G147" i="5" a="1"/>
  <c r="G147" i="5" s="1"/>
  <c r="AA147" i="5" s="1" a="1"/>
  <c r="AA147" i="5" s="1"/>
  <c r="G137" i="5" a="1"/>
  <c r="G137" i="5" s="1"/>
  <c r="AA137" i="5" s="1" a="1"/>
  <c r="AA137" i="5" s="1"/>
  <c r="G125" i="5" a="1"/>
  <c r="G125" i="5" s="1"/>
  <c r="AA125" i="5" s="1" a="1"/>
  <c r="AA125" i="5" s="1"/>
  <c r="G114" i="5" a="1"/>
  <c r="G114" i="5" s="1"/>
  <c r="AA114" i="5" s="1" a="1"/>
  <c r="AA114" i="5" s="1"/>
  <c r="G105" i="5" a="1"/>
  <c r="G105" i="5" s="1"/>
  <c r="AA105" i="5" s="1" a="1"/>
  <c r="AA105" i="5" s="1"/>
  <c r="G94" i="5" a="1"/>
  <c r="G94" i="5" s="1"/>
  <c r="AA94" i="5" s="1" a="1"/>
  <c r="AA94" i="5" s="1"/>
  <c r="G85" i="5" a="1"/>
  <c r="G85" i="5" s="1"/>
  <c r="AA85" i="5" s="1" a="1"/>
  <c r="AA85" i="5" s="1"/>
  <c r="G74" i="5" a="1"/>
  <c r="G74" i="5" s="1"/>
  <c r="AA74" i="5" s="1" a="1"/>
  <c r="AA74" i="5" s="1"/>
  <c r="G65" i="5" a="1"/>
  <c r="G65" i="5" s="1"/>
  <c r="AA65" i="5" s="1" a="1"/>
  <c r="AA65" i="5" s="1"/>
  <c r="G54" i="5" a="1"/>
  <c r="G54" i="5" s="1"/>
  <c r="AA54" i="5" s="1" a="1"/>
  <c r="AA54" i="5" s="1"/>
  <c r="G66" i="5" a="1"/>
  <c r="G66" i="5" s="1"/>
  <c r="AA66" i="5" s="1" a="1"/>
  <c r="AA66" i="5" s="1"/>
  <c r="G28" i="5" a="1"/>
  <c r="G28" i="5" s="1"/>
  <c r="AA28" i="5" s="1" a="1"/>
  <c r="AA28" i="5" s="1"/>
  <c r="G17" i="5" a="1"/>
  <c r="G17" i="5" s="1"/>
  <c r="AA17" i="5" s="1" a="1"/>
  <c r="AA17" i="5" s="1"/>
  <c r="G10" i="5" a="1"/>
  <c r="G10" i="5" s="1"/>
  <c r="AA10" i="5" s="1" a="1"/>
  <c r="AA10" i="5" s="1"/>
  <c r="G5" i="5" a="1"/>
  <c r="G5" i="5" s="1"/>
  <c r="AA5" i="5" s="1" a="1"/>
  <c r="AA5" i="5" s="1"/>
  <c r="G7" i="5" a="1"/>
  <c r="G7" i="5" s="1"/>
  <c r="AA7" i="5" s="1" a="1"/>
  <c r="AA7" i="5" s="1"/>
  <c r="G25" i="5" a="1"/>
  <c r="G25" i="5" s="1"/>
  <c r="AA25" i="5" s="1" a="1"/>
  <c r="AA25" i="5" s="1"/>
  <c r="G20" i="5" a="1"/>
  <c r="G20" i="5" s="1"/>
  <c r="AA20" i="5" s="1" a="1"/>
  <c r="AA20" i="5" s="1"/>
  <c r="G22" i="5" a="1"/>
  <c r="G22" i="5" s="1"/>
  <c r="AA22" i="5" s="1" a="1"/>
  <c r="AA22" i="5" s="1"/>
  <c r="G84" i="5" a="1"/>
  <c r="G84" i="5" s="1"/>
  <c r="AA84" i="5" s="1" a="1"/>
  <c r="AA84" i="5" s="1"/>
  <c r="G79" i="5" a="1"/>
  <c r="G79" i="5" s="1"/>
  <c r="AA79" i="5" s="1" a="1"/>
  <c r="AA79" i="5" s="1"/>
  <c r="G44" i="5" a="1"/>
  <c r="G44" i="5" s="1"/>
  <c r="AA44" i="5" s="1" a="1"/>
  <c r="AA44" i="5" s="1"/>
  <c r="G41" i="5" a="1"/>
  <c r="G41" i="5" s="1"/>
  <c r="AA41" i="5" s="1" a="1"/>
  <c r="AA41" i="5" s="1"/>
  <c r="G33" i="5" a="1"/>
  <c r="G33" i="5" s="1"/>
  <c r="AA33" i="5" s="1" a="1"/>
  <c r="AA33" i="5" s="1"/>
  <c r="G19" i="5" a="1"/>
  <c r="G19" i="5" s="1"/>
  <c r="AA19" i="5" s="1" a="1"/>
  <c r="AA19" i="5" s="1"/>
  <c r="F2" i="5"/>
  <c r="G2" i="5" s="1" a="1"/>
  <c r="G2" i="5" s="1"/>
  <c r="AA2" i="5" s="1" a="1"/>
  <c r="AA2" i="5" s="1"/>
  <c r="G32" i="5" a="1"/>
  <c r="G32" i="5" s="1"/>
  <c r="AA32" i="5" s="1" a="1"/>
  <c r="AA32" i="5" s="1"/>
  <c r="G27" i="5" a="1"/>
  <c r="G27" i="5" s="1"/>
  <c r="AA27" i="5" s="1" a="1"/>
  <c r="AA27" i="5" s="1"/>
  <c r="G70" i="5" a="1"/>
  <c r="G70" i="5" s="1"/>
  <c r="AA70" i="5" s="1" a="1"/>
  <c r="AA70" i="5" s="1"/>
  <c r="G61" i="5" a="1"/>
  <c r="G61" i="5" s="1"/>
  <c r="AA61" i="5" s="1" a="1"/>
  <c r="AA61" i="5" s="1"/>
  <c r="G57" i="5" a="1"/>
  <c r="G57" i="5" s="1"/>
  <c r="AA57" i="5" s="1" a="1"/>
  <c r="AA57" i="5" s="1"/>
  <c r="G53" i="5" a="1"/>
  <c r="G53" i="5" s="1"/>
  <c r="AA53" i="5" s="1" a="1"/>
  <c r="AA53" i="5" s="1"/>
  <c r="G21" i="5" a="1"/>
  <c r="G21" i="5" s="1"/>
  <c r="AA21" i="5" s="1" a="1"/>
  <c r="AA21" i="5" s="1"/>
  <c r="G12" i="5" a="1"/>
  <c r="G12" i="5" s="1"/>
  <c r="AA12" i="5" s="1" a="1"/>
  <c r="AA12" i="5" s="1"/>
  <c r="G13" i="5" a="1"/>
  <c r="G13" i="5" s="1"/>
  <c r="AA13" i="5" s="1" a="1"/>
  <c r="AA13" i="5" s="1"/>
  <c r="G50" i="5" a="1"/>
  <c r="G50" i="5" s="1"/>
  <c r="AA50" i="5" s="1" a="1"/>
  <c r="AA50" i="5" s="1"/>
  <c r="G35" i="5" a="1"/>
  <c r="G35" i="5" s="1"/>
  <c r="AA35" i="5" s="1" a="1"/>
  <c r="AA35" i="5" s="1"/>
  <c r="G23" i="5" a="1"/>
  <c r="G23" i="5" s="1"/>
  <c r="AA23" i="5" s="1" a="1"/>
  <c r="AA23" i="5" s="1"/>
  <c r="G14" i="5" a="1"/>
  <c r="G14" i="5" s="1"/>
  <c r="AA14" i="5" s="1" a="1"/>
  <c r="AA14" i="5" s="1"/>
  <c r="G9" i="5" a="1"/>
  <c r="G9" i="5" s="1"/>
  <c r="AA9" i="5" s="1" a="1"/>
  <c r="AA9" i="5" s="1"/>
  <c r="G16" i="5" a="1"/>
  <c r="G16" i="5" s="1"/>
  <c r="AA16" i="5" s="1" a="1"/>
  <c r="AA16" i="5" s="1"/>
  <c r="G18" i="5" a="1"/>
  <c r="G18" i="5" s="1"/>
  <c r="AA18" i="5" s="1" a="1"/>
  <c r="AA18" i="5" s="1"/>
  <c r="G3" i="5" a="1"/>
  <c r="G3" i="5" s="1"/>
  <c r="AA3" i="5" s="1" a="1"/>
  <c r="AA3" i="5" s="1"/>
  <c r="G83" i="5" a="1"/>
  <c r="G83" i="5" s="1"/>
  <c r="AA83" i="5" s="1" a="1"/>
  <c r="AA83" i="5" s="1"/>
  <c r="G64" i="5" a="1"/>
  <c r="G64" i="5" s="1"/>
  <c r="AA64" i="5" s="1" a="1"/>
  <c r="AA64" i="5" s="1"/>
  <c r="G4" i="5" a="1"/>
  <c r="G4" i="5" s="1"/>
  <c r="AA4" i="5" s="1" a="1"/>
  <c r="AA4" i="5" s="1"/>
  <c r="G6" i="5" a="1"/>
  <c r="G6" i="5" s="1"/>
  <c r="AA6" i="5" s="1" a="1"/>
  <c r="AA6" i="5" s="1"/>
  <c r="G77" i="5" a="1"/>
  <c r="G77" i="5" s="1"/>
  <c r="AA77" i="5" s="1" a="1"/>
  <c r="AA77" i="5" s="1"/>
  <c r="G46" i="5" a="1"/>
  <c r="G46" i="5" s="1"/>
  <c r="AA46" i="5" s="1" a="1"/>
  <c r="AA46" i="5" s="1"/>
  <c r="G43" i="5" a="1"/>
  <c r="G43" i="5" s="1"/>
  <c r="AA43" i="5" s="1" a="1"/>
  <c r="AA43" i="5" s="1"/>
  <c r="G11" i="5" a="1"/>
  <c r="G11" i="5" s="1"/>
  <c r="AA11" i="5" s="1" a="1"/>
  <c r="AA11" i="5" s="1"/>
  <c r="G8" i="5" a="1"/>
  <c r="G8" i="5" s="1"/>
  <c r="AA8" i="5" s="1" a="1"/>
  <c r="AA8" i="5" s="1"/>
  <c r="G88" i="5" a="1"/>
  <c r="G88" i="5" s="1"/>
  <c r="AA88" i="5" s="1" a="1"/>
  <c r="AA88" i="5" s="1"/>
  <c r="G68" i="5" a="1"/>
  <c r="G68" i="5" s="1"/>
  <c r="AA68" i="5" s="1" a="1"/>
  <c r="AA68" i="5" s="1"/>
  <c r="G34" i="5" a="1"/>
  <c r="G34" i="5" s="1"/>
  <c r="AA34" i="5" s="1" a="1"/>
  <c r="AA34" i="5" s="1"/>
  <c r="G29" i="5" a="1"/>
  <c r="G29" i="5" s="1"/>
  <c r="AA29" i="5" s="1" a="1"/>
  <c r="AA29" i="5" s="1"/>
  <c r="G24" i="5" a="1"/>
  <c r="G24" i="5" s="1"/>
  <c r="AA24" i="5" s="1" a="1"/>
  <c r="AA24" i="5" s="1"/>
  <c r="G59" i="5" a="1"/>
  <c r="G59" i="5" s="1"/>
  <c r="AA59" i="5" s="1" a="1"/>
  <c r="AA59" i="5" s="1"/>
  <c r="G55" i="5" a="1"/>
  <c r="G55" i="5" s="1"/>
  <c r="AA55" i="5" s="1" a="1"/>
  <c r="AA55" i="5" s="1"/>
  <c r="G42" i="5" a="1"/>
  <c r="G42" i="5" s="1"/>
  <c r="AA42" i="5" s="1" a="1"/>
  <c r="AA42" i="5" s="1"/>
  <c r="G72" i="5" a="1"/>
  <c r="G72" i="5" s="1"/>
  <c r="AA72" i="5" s="1" a="1"/>
  <c r="AA72" i="5" s="1"/>
  <c r="G63" i="5" a="1"/>
  <c r="G63" i="5" s="1"/>
  <c r="AA63" i="5" s="1" a="1"/>
  <c r="AA63" i="5" s="1"/>
  <c r="G39" i="5" a="1"/>
  <c r="G39" i="5" s="1"/>
  <c r="AA39" i="5" s="1" a="1"/>
  <c r="AA39" i="5" s="1"/>
  <c r="G36" i="5" a="1"/>
  <c r="G36" i="5" s="1"/>
  <c r="AA36" i="5" s="1" a="1"/>
  <c r="AA36" i="5" s="1"/>
  <c r="G75" i="5" a="1"/>
  <c r="G75" i="5" s="1"/>
  <c r="AA75" i="5" s="1" a="1"/>
  <c r="AA75" i="5" s="1"/>
  <c r="G48" i="5" a="1"/>
  <c r="G48" i="5" s="1"/>
  <c r="AA48" i="5" s="1" a="1"/>
  <c r="AA48" i="5" s="1"/>
  <c r="G45" i="5" a="1"/>
  <c r="G45" i="5" s="1"/>
  <c r="AA45" i="5" s="1" a="1"/>
  <c r="AA45" i="5" s="1"/>
  <c r="G31" i="5" a="1"/>
  <c r="G31" i="5" s="1"/>
  <c r="AA31" i="5" s="1" a="1"/>
  <c r="AA31" i="5" s="1"/>
  <c r="G26" i="5" a="1"/>
  <c r="G26" i="5" s="1"/>
  <c r="AA26" i="5" s="1" a="1"/>
  <c r="AA26" i="5" s="1"/>
  <c r="G15" i="5" a="1"/>
  <c r="G15" i="5" s="1"/>
  <c r="AA15" i="5" s="1" a="1"/>
  <c r="AA15" i="5" s="1"/>
  <c r="G37" i="5" a="1"/>
  <c r="G37" i="5" s="1"/>
  <c r="AA37" i="5" s="1" a="1"/>
  <c r="AA37" i="5" s="1"/>
  <c r="G52" i="5" a="1"/>
  <c r="G52" i="5" s="1"/>
  <c r="AA52" i="5" s="1" a="1"/>
  <c r="AA52" i="5" s="1"/>
  <c r="G180" i="1" a="1"/>
  <c r="G180" i="1" s="1"/>
  <c r="AA180" i="1" s="1" a="1"/>
  <c r="AA180" i="1" s="1"/>
  <c r="G182" i="1" a="1"/>
  <c r="G182" i="1" s="1"/>
  <c r="G181" i="1" a="1"/>
  <c r="G181" i="1" s="1"/>
  <c r="AA181" i="1" s="1" a="1"/>
  <c r="AA181" i="1" s="1"/>
  <c r="G179" i="1" a="1"/>
  <c r="G179" i="1" s="1"/>
  <c r="AA179" i="1" s="1" a="1"/>
  <c r="AA179" i="1" s="1"/>
  <c r="G178" i="1" a="1"/>
  <c r="G178" i="1" s="1"/>
  <c r="AA178" i="1" s="1" a="1"/>
  <c r="AA178" i="1" s="1"/>
  <c r="G166" i="1" a="1"/>
  <c r="G166" i="1" s="1"/>
  <c r="AA166" i="1" s="1" a="1"/>
  <c r="AA166" i="1" s="1"/>
  <c r="G103" i="1" a="1"/>
  <c r="G103" i="1" s="1"/>
  <c r="AA103" i="1" s="1" a="1"/>
  <c r="AA103" i="1" s="1"/>
  <c r="G60" i="1" a="1"/>
  <c r="G60" i="1" s="1"/>
  <c r="AA60" i="1" s="1" a="1"/>
  <c r="AA60" i="1" s="1"/>
  <c r="G89" i="1" a="1"/>
  <c r="G89" i="1" s="1"/>
  <c r="AA89" i="1" s="1" a="1"/>
  <c r="AA89" i="1" s="1"/>
  <c r="G64" i="1" a="1"/>
  <c r="G64" i="1" s="1"/>
  <c r="AA64" i="1" s="1" a="1"/>
  <c r="AA64" i="1" s="1"/>
  <c r="G106" i="1" a="1"/>
  <c r="G106" i="1" s="1"/>
  <c r="AA106" i="1" s="1" a="1"/>
  <c r="AA106" i="1" s="1"/>
  <c r="G153" i="1" a="1"/>
  <c r="G153" i="1" s="1"/>
  <c r="AA153" i="1" s="1" a="1"/>
  <c r="AA153" i="1" s="1"/>
  <c r="G156" i="1" a="1"/>
  <c r="G156" i="1" s="1"/>
  <c r="AA156" i="1" s="1" a="1"/>
  <c r="AA156" i="1" s="1"/>
  <c r="G149" i="1" a="1"/>
  <c r="G149" i="1" s="1"/>
  <c r="AA149" i="1" s="1" a="1"/>
  <c r="AA149" i="1" s="1"/>
  <c r="G39" i="1" a="1"/>
  <c r="G39" i="1" s="1"/>
  <c r="AA39" i="1" s="1" a="1"/>
  <c r="AA39" i="1" s="1"/>
  <c r="G79" i="1" a="1"/>
  <c r="G79" i="1" s="1"/>
  <c r="AA79" i="1" s="1" a="1"/>
  <c r="AA79" i="1" s="1"/>
  <c r="G95" i="1" a="1"/>
  <c r="G95" i="1" s="1"/>
  <c r="AA95" i="1" s="1" a="1"/>
  <c r="AA95" i="1" s="1"/>
  <c r="G42" i="1" a="1"/>
  <c r="G42" i="1" s="1"/>
  <c r="AA42" i="1" s="1" a="1"/>
  <c r="AA42" i="1" s="1"/>
  <c r="G16" i="1" a="1"/>
  <c r="G16" i="1" s="1"/>
  <c r="AA16" i="1" s="1" a="1"/>
  <c r="AA16" i="1" s="1"/>
  <c r="G66" i="1" a="1"/>
  <c r="G66" i="1" s="1"/>
  <c r="AA66" i="1" s="1" a="1"/>
  <c r="AA66" i="1" s="1"/>
  <c r="G33" i="1" a="1"/>
  <c r="G33" i="1" s="1"/>
  <c r="AA33" i="1" s="1" a="1"/>
  <c r="AA33" i="1" s="1"/>
  <c r="G101" i="1" a="1"/>
  <c r="G101" i="1" s="1"/>
  <c r="AA101" i="1" s="1" a="1"/>
  <c r="AA101" i="1" s="1"/>
  <c r="G50" i="1" a="1"/>
  <c r="G50" i="1" s="1"/>
  <c r="AA50" i="1" s="1" a="1"/>
  <c r="AA50" i="1" s="1"/>
  <c r="G160" i="1" a="1"/>
  <c r="G160" i="1" s="1"/>
  <c r="AA160" i="1" s="1" a="1"/>
  <c r="AA160" i="1" s="1"/>
  <c r="G71" i="1" a="1"/>
  <c r="G71" i="1" s="1"/>
  <c r="AA71" i="1" s="1" a="1"/>
  <c r="AA71" i="1" s="1"/>
  <c r="G93" i="1" a="1"/>
  <c r="G93" i="1" s="1"/>
  <c r="AA93" i="1" s="1" a="1"/>
  <c r="AA93" i="1" s="1"/>
  <c r="G12" i="1" a="1"/>
  <c r="G12" i="1" s="1"/>
  <c r="AA12" i="1" s="1" a="1"/>
  <c r="AA12" i="1" s="1"/>
  <c r="G92" i="1" a="1"/>
  <c r="G92" i="1" s="1"/>
  <c r="AA92" i="1" s="1" a="1"/>
  <c r="AA92" i="1" s="1"/>
  <c r="G28" i="1" a="1"/>
  <c r="G28" i="1" s="1"/>
  <c r="AA28" i="1" s="1" a="1"/>
  <c r="AA28" i="1" s="1"/>
  <c r="G57" i="1" a="1"/>
  <c r="G57" i="1" s="1"/>
  <c r="AA57" i="1" s="1" a="1"/>
  <c r="AA57" i="1" s="1"/>
  <c r="G18" i="1" a="1"/>
  <c r="G18" i="1" s="1"/>
  <c r="AA18" i="1" s="1" a="1"/>
  <c r="AA18" i="1" s="1"/>
  <c r="G88" i="1" a="1"/>
  <c r="G88" i="1" s="1"/>
  <c r="AA88" i="1" s="1" a="1"/>
  <c r="AA88" i="1" s="1"/>
  <c r="G135" i="1" a="1"/>
  <c r="G135" i="1" s="1"/>
  <c r="AA135" i="1" s="1" a="1"/>
  <c r="AA135" i="1" s="1"/>
  <c r="G22" i="1" a="1"/>
  <c r="G22" i="1" s="1"/>
  <c r="AA22" i="1" s="1" a="1"/>
  <c r="AA22" i="1" s="1"/>
  <c r="G100" i="1" a="1"/>
  <c r="G100" i="1" s="1"/>
  <c r="AA100" i="1" s="1" a="1"/>
  <c r="AA100" i="1" s="1"/>
  <c r="G176" i="1" a="1"/>
  <c r="G176" i="1" s="1"/>
  <c r="AA176" i="1" s="1" a="1"/>
  <c r="AA176" i="1" s="1"/>
  <c r="G148" i="1" a="1"/>
  <c r="G148" i="1" s="1"/>
  <c r="AA148" i="1" s="1" a="1"/>
  <c r="AA148" i="1" s="1"/>
  <c r="G127" i="1" a="1"/>
  <c r="G127" i="1" s="1"/>
  <c r="AA127" i="1" s="1" a="1"/>
  <c r="AA127" i="1" s="1"/>
  <c r="G154" i="1" a="1"/>
  <c r="G154" i="1" s="1"/>
  <c r="AA154" i="1" s="1" a="1"/>
  <c r="AA154" i="1" s="1"/>
  <c r="G35" i="1" a="1"/>
  <c r="G35" i="1" s="1"/>
  <c r="AA35" i="1" s="1" a="1"/>
  <c r="AA35" i="1" s="1"/>
  <c r="G121" i="1" a="1"/>
  <c r="G121" i="1" s="1"/>
  <c r="AA121" i="1" s="1" a="1"/>
  <c r="AA121" i="1" s="1"/>
  <c r="G3" i="1" a="1"/>
  <c r="G3" i="1" s="1"/>
  <c r="AA3" i="1" s="1" a="1"/>
  <c r="AA3" i="1" s="1"/>
  <c r="G15" i="1" a="1"/>
  <c r="G15" i="1" s="1"/>
  <c r="AA15" i="1" s="1" a="1"/>
  <c r="AA15" i="1" s="1"/>
  <c r="G59" i="1" a="1"/>
  <c r="G59" i="1" s="1"/>
  <c r="AA59" i="1" s="1" a="1"/>
  <c r="AA59" i="1" s="1"/>
  <c r="G27" i="1" a="1"/>
  <c r="G27" i="1" s="1"/>
  <c r="AA27" i="1" s="1" a="1"/>
  <c r="AA27" i="1" s="1"/>
  <c r="G80" i="1" a="1"/>
  <c r="G80" i="1" s="1"/>
  <c r="AA80" i="1" s="1" a="1"/>
  <c r="AA80" i="1" s="1"/>
  <c r="G44" i="1" a="1"/>
  <c r="G44" i="1" s="1"/>
  <c r="AA44" i="1" s="1" a="1"/>
  <c r="AA44" i="1" s="1"/>
  <c r="G152" i="1" a="1"/>
  <c r="G152" i="1" s="1"/>
  <c r="AA152" i="1" s="1" a="1"/>
  <c r="AA152" i="1" s="1"/>
  <c r="G63" i="1" a="1"/>
  <c r="G63" i="1" s="1"/>
  <c r="AA63" i="1" s="1" a="1"/>
  <c r="AA63" i="1" s="1"/>
  <c r="G85" i="1" a="1"/>
  <c r="G85" i="1" s="1"/>
  <c r="AA85" i="1" s="1" a="1"/>
  <c r="AA85" i="1" s="1"/>
  <c r="G5" i="1" a="1"/>
  <c r="G5" i="1" s="1"/>
  <c r="AA5" i="1" s="1" a="1"/>
  <c r="AA5" i="1" s="1"/>
  <c r="G84" i="1" a="1"/>
  <c r="G84" i="1" s="1"/>
  <c r="AA84" i="1" s="1" a="1"/>
  <c r="AA84" i="1" s="1"/>
  <c r="G129" i="1" a="1"/>
  <c r="G129" i="1" s="1"/>
  <c r="AA129" i="1" s="1" a="1"/>
  <c r="AA129" i="1" s="1"/>
  <c r="G54" i="1" a="1"/>
  <c r="G54" i="1" s="1"/>
  <c r="AA54" i="1" s="1" a="1"/>
  <c r="AA54" i="1" s="1"/>
  <c r="G45" i="1" a="1"/>
  <c r="G45" i="1" s="1"/>
  <c r="AA45" i="1" s="1" a="1"/>
  <c r="AA45" i="1" s="1"/>
  <c r="G177" i="1" a="1"/>
  <c r="G177" i="1" s="1"/>
  <c r="AA177" i="1" s="1" a="1"/>
  <c r="AA177" i="1" s="1"/>
  <c r="G24" i="1" a="1"/>
  <c r="G24" i="1" s="1"/>
  <c r="AA24" i="1" s="1" a="1"/>
  <c r="AA24" i="1" s="1"/>
  <c r="G116" i="1" a="1"/>
  <c r="G116" i="1" s="1"/>
  <c r="AA116" i="1" s="1" a="1"/>
  <c r="AA116" i="1" s="1"/>
  <c r="G48" i="1" a="1"/>
  <c r="G48" i="1" s="1"/>
  <c r="AA48" i="1" s="1" a="1"/>
  <c r="AA48" i="1" s="1"/>
  <c r="G82" i="1" a="1"/>
  <c r="G82" i="1" s="1"/>
  <c r="AA82" i="1" s="1" a="1"/>
  <c r="AA82" i="1" s="1"/>
  <c r="G168" i="1" a="1"/>
  <c r="G168" i="1" s="1"/>
  <c r="AA168" i="1" s="1" a="1"/>
  <c r="AA168" i="1" s="1"/>
  <c r="G105" i="1" a="1"/>
  <c r="G105" i="1" s="1"/>
  <c r="AA105" i="1" s="1" a="1"/>
  <c r="AA105" i="1" s="1"/>
  <c r="G143" i="1" a="1"/>
  <c r="G143" i="1" s="1"/>
  <c r="AA143" i="1" s="1" a="1"/>
  <c r="AA143" i="1" s="1"/>
  <c r="G97" i="1" a="1"/>
  <c r="G97" i="1" s="1"/>
  <c r="AA97" i="1" s="1" a="1"/>
  <c r="AA97" i="1" s="1"/>
  <c r="G9" i="1" a="1"/>
  <c r="G9" i="1" s="1"/>
  <c r="AA9" i="1" s="1" a="1"/>
  <c r="AA9" i="1" s="1"/>
  <c r="G46" i="1" a="1"/>
  <c r="G46" i="1" s="1"/>
  <c r="AA46" i="1" s="1" a="1"/>
  <c r="AA46" i="1" s="1"/>
  <c r="G20" i="1" a="1"/>
  <c r="G20" i="1" s="1"/>
  <c r="AA20" i="1" s="1" a="1"/>
  <c r="AA20" i="1" s="1"/>
  <c r="G73" i="1" a="1"/>
  <c r="G73" i="1" s="1"/>
  <c r="AA73" i="1" s="1" a="1"/>
  <c r="AA73" i="1" s="1"/>
  <c r="G38" i="1" a="1"/>
  <c r="G38" i="1" s="1"/>
  <c r="AA38" i="1" s="1" a="1"/>
  <c r="AA38" i="1" s="1"/>
  <c r="G145" i="1" a="1"/>
  <c r="G145" i="1" s="1"/>
  <c r="AA145" i="1" s="1" a="1"/>
  <c r="AA145" i="1" s="1"/>
  <c r="G56" i="1" a="1"/>
  <c r="G56" i="1" s="1"/>
  <c r="AA56" i="1" s="1" a="1"/>
  <c r="AA56" i="1" s="1"/>
  <c r="G70" i="1" a="1"/>
  <c r="G70" i="1" s="1"/>
  <c r="AA70" i="1" s="1" a="1"/>
  <c r="AA70" i="1" s="1"/>
  <c r="G144" i="1" a="1"/>
  <c r="G144" i="1" s="1"/>
  <c r="AA144" i="1" s="1" a="1"/>
  <c r="AA144" i="1" s="1"/>
  <c r="G78" i="1" a="1"/>
  <c r="G78" i="1" s="1"/>
  <c r="AA78" i="1" s="1" a="1"/>
  <c r="AA78" i="1" s="1"/>
  <c r="G122" i="1" a="1"/>
  <c r="G122" i="1" s="1"/>
  <c r="AA122" i="1" s="1" a="1"/>
  <c r="AA122" i="1" s="1"/>
  <c r="G23" i="1" a="1"/>
  <c r="G23" i="1" s="1"/>
  <c r="AA23" i="1" s="1" a="1"/>
  <c r="AA23" i="1" s="1"/>
  <c r="G104" i="1" a="1"/>
  <c r="G104" i="1" s="1"/>
  <c r="AA104" i="1" s="1" a="1"/>
  <c r="AA104" i="1" s="1"/>
  <c r="G75" i="1" a="1"/>
  <c r="G75" i="1" s="1"/>
  <c r="AA75" i="1" s="1" a="1"/>
  <c r="AA75" i="1" s="1"/>
  <c r="G141" i="1" a="1"/>
  <c r="G141" i="1" s="1"/>
  <c r="AA141" i="1" s="1" a="1"/>
  <c r="AA141" i="1" s="1"/>
  <c r="G21" i="1" a="1"/>
  <c r="G21" i="1" s="1"/>
  <c r="AA21" i="1" s="1" a="1"/>
  <c r="AA21" i="1" s="1"/>
  <c r="G14" i="1" a="1"/>
  <c r="G14" i="1" s="1"/>
  <c r="AA14" i="1" s="1" a="1"/>
  <c r="AA14" i="1" s="1"/>
  <c r="G58" i="1" a="1"/>
  <c r="G58" i="1" s="1"/>
  <c r="AA58" i="1" s="1" a="1"/>
  <c r="AA58" i="1" s="1"/>
  <c r="G32" i="1" a="1"/>
  <c r="G32" i="1" s="1"/>
  <c r="AA32" i="1" s="1" a="1"/>
  <c r="AA32" i="1" s="1"/>
  <c r="G138" i="1" a="1"/>
  <c r="G138" i="1" s="1"/>
  <c r="AA138" i="1" s="1" a="1"/>
  <c r="AA138" i="1" s="1"/>
  <c r="G31" i="1" a="1"/>
  <c r="G31" i="1" s="1"/>
  <c r="AA31" i="1" s="1" a="1"/>
  <c r="AA31" i="1" s="1"/>
  <c r="G55" i="1" a="1"/>
  <c r="G55" i="1" s="1"/>
  <c r="AA55" i="1" s="1" a="1"/>
  <c r="AA55" i="1" s="1"/>
  <c r="G175" i="1" a="1"/>
  <c r="G175" i="1" s="1"/>
  <c r="AA175" i="1" s="1" a="1"/>
  <c r="AA175" i="1" s="1"/>
  <c r="G62" i="1" a="1"/>
  <c r="G62" i="1" s="1"/>
  <c r="AA62" i="1" s="1" a="1"/>
  <c r="AA62" i="1" s="1"/>
  <c r="G29" i="1" a="1"/>
  <c r="G29" i="1" s="1"/>
  <c r="AA29" i="1" s="1" a="1"/>
  <c r="AA29" i="1" s="1"/>
  <c r="G94" i="1" a="1"/>
  <c r="G94" i="1" s="1"/>
  <c r="AA94" i="1" s="1" a="1"/>
  <c r="AA94" i="1" s="1"/>
  <c r="G91" i="1" a="1"/>
  <c r="G91" i="1" s="1"/>
  <c r="AA91" i="1" s="1" a="1"/>
  <c r="AA91" i="1" s="1"/>
  <c r="G170" i="1" a="1"/>
  <c r="G170" i="1" s="1"/>
  <c r="AA170" i="1" s="1" a="1"/>
  <c r="AA170" i="1" s="1"/>
  <c r="G102" i="1" a="1"/>
  <c r="G102" i="1" s="1"/>
  <c r="AA102" i="1" s="1" a="1"/>
  <c r="AA102" i="1" s="1"/>
  <c r="G17" i="1" a="1"/>
  <c r="G17" i="1" s="1"/>
  <c r="AA17" i="1" s="1" a="1"/>
  <c r="AA17" i="1" s="1"/>
  <c r="G90" i="1" a="1"/>
  <c r="G90" i="1" s="1"/>
  <c r="AA90" i="1" s="1" a="1"/>
  <c r="AA90" i="1" s="1"/>
  <c r="G67" i="1" a="1"/>
  <c r="G67" i="1" s="1"/>
  <c r="AA67" i="1" s="1" a="1"/>
  <c r="AA67" i="1" s="1"/>
  <c r="G134" i="1" a="1"/>
  <c r="G134" i="1" s="1"/>
  <c r="AA134" i="1" s="1" a="1"/>
  <c r="AA134" i="1" s="1"/>
  <c r="G81" i="1" a="1"/>
  <c r="G81" i="1" s="1"/>
  <c r="AA81" i="1" s="1" a="1"/>
  <c r="AA81" i="1" s="1"/>
  <c r="G8" i="1" a="1"/>
  <c r="G8" i="1" s="1"/>
  <c r="AA8" i="1" s="1" a="1"/>
  <c r="AA8" i="1" s="1"/>
  <c r="G51" i="1" a="1"/>
  <c r="G51" i="1" s="1"/>
  <c r="AA51" i="1" s="1" a="1"/>
  <c r="AA51" i="1" s="1"/>
  <c r="G25" i="1" a="1"/>
  <c r="G25" i="1" s="1"/>
  <c r="AA25" i="1" s="1" a="1"/>
  <c r="AA25" i="1" s="1"/>
  <c r="G131" i="1" a="1"/>
  <c r="G131" i="1" s="1"/>
  <c r="AA131" i="1" s="1" a="1"/>
  <c r="AA131" i="1" s="1"/>
  <c r="G6" i="1" a="1"/>
  <c r="G6" i="1" s="1"/>
  <c r="AA6" i="1" s="1" a="1"/>
  <c r="AA6" i="1" s="1"/>
  <c r="G49" i="1" a="1"/>
  <c r="G49" i="1" s="1"/>
  <c r="AA49" i="1" s="1" a="1"/>
  <c r="AA49" i="1" s="1"/>
  <c r="G167" i="1" a="1"/>
  <c r="G167" i="1" s="1"/>
  <c r="AA167" i="1" s="1" a="1"/>
  <c r="AA167" i="1" s="1"/>
  <c r="G36" i="1" a="1"/>
  <c r="G36" i="1" s="1"/>
  <c r="AA36" i="1" s="1" a="1"/>
  <c r="AA36" i="1" s="1"/>
  <c r="G172" i="1" a="1"/>
  <c r="G172" i="1" s="1"/>
  <c r="AA172" i="1" s="1" a="1"/>
  <c r="AA172" i="1" s="1"/>
  <c r="G140" i="1" a="1"/>
  <c r="G140" i="1" s="1"/>
  <c r="AA140" i="1" s="1" a="1"/>
  <c r="AA140" i="1" s="1"/>
  <c r="G164" i="1" a="1"/>
  <c r="G164" i="1" s="1"/>
  <c r="AA164" i="1" s="1" a="1"/>
  <c r="AA164" i="1" s="1"/>
  <c r="G136" i="1" a="1"/>
  <c r="G136" i="1" s="1"/>
  <c r="AA136" i="1" s="1" a="1"/>
  <c r="AA136" i="1" s="1"/>
  <c r="G118" i="1" a="1"/>
  <c r="G118" i="1" s="1"/>
  <c r="AA118" i="1" s="1" a="1"/>
  <c r="AA118" i="1" s="1"/>
  <c r="G155" i="1" a="1"/>
  <c r="G155" i="1" s="1"/>
  <c r="AA155" i="1" s="1" a="1"/>
  <c r="AA155" i="1" s="1"/>
  <c r="G10" i="1" a="1"/>
  <c r="G10" i="1" s="1"/>
  <c r="AA10" i="1" s="1" a="1"/>
  <c r="AA10" i="1" s="1"/>
  <c r="G83" i="1" a="1"/>
  <c r="G83" i="1" s="1"/>
  <c r="AA83" i="1" s="1" a="1"/>
  <c r="AA83" i="1" s="1"/>
  <c r="G53" i="1" a="1"/>
  <c r="G53" i="1" s="1"/>
  <c r="AA53" i="1" s="1" a="1"/>
  <c r="AA53" i="1" s="1"/>
  <c r="G119" i="1" a="1"/>
  <c r="G119" i="1" s="1"/>
  <c r="AA119" i="1" s="1" a="1"/>
  <c r="AA119" i="1" s="1"/>
  <c r="G74" i="1" a="1"/>
  <c r="G74" i="1" s="1"/>
  <c r="AA74" i="1" s="1" a="1"/>
  <c r="AA74" i="1" s="1"/>
  <c r="G147" i="1" a="1"/>
  <c r="G147" i="1" s="1"/>
  <c r="AA147" i="1" s="1" a="1"/>
  <c r="AA147" i="1" s="1"/>
  <c r="G26" i="1" a="1"/>
  <c r="G26" i="1" s="1"/>
  <c r="AA26" i="1" s="1" a="1"/>
  <c r="AA26" i="1" s="1"/>
  <c r="G19" i="1" a="1"/>
  <c r="G19" i="1" s="1"/>
  <c r="AA19" i="1" s="1" a="1"/>
  <c r="AA19" i="1" s="1"/>
  <c r="G124" i="1" a="1"/>
  <c r="G124" i="1" s="1"/>
  <c r="AA124" i="1" s="1" a="1"/>
  <c r="AA124" i="1" s="1"/>
  <c r="G151" i="1" a="1"/>
  <c r="G151" i="1" s="1"/>
  <c r="AA151" i="1" s="1" a="1"/>
  <c r="AA151" i="1" s="1"/>
  <c r="G43" i="1" a="1"/>
  <c r="G43" i="1" s="1"/>
  <c r="AA43" i="1" s="1" a="1"/>
  <c r="AA43" i="1" s="1"/>
  <c r="G159" i="1" a="1"/>
  <c r="G159" i="1" s="1"/>
  <c r="AA159" i="1" s="1" a="1"/>
  <c r="AA159" i="1" s="1"/>
  <c r="G11" i="1" a="1"/>
  <c r="G11" i="1" s="1"/>
  <c r="AA11" i="1" s="1" a="1"/>
  <c r="AA11" i="1" s="1"/>
  <c r="G163" i="1" a="1"/>
  <c r="G163" i="1" s="1"/>
  <c r="AA163" i="1" s="1" a="1"/>
  <c r="AA163" i="1" s="1"/>
  <c r="G171" i="1" a="1"/>
  <c r="G171" i="1" s="1"/>
  <c r="AA171" i="1" s="1" a="1"/>
  <c r="AA171" i="1" s="1"/>
  <c r="G157" i="1" a="1"/>
  <c r="G157" i="1" s="1"/>
  <c r="AA157" i="1" s="1" a="1"/>
  <c r="AA157" i="1" s="1"/>
  <c r="G34" i="1" a="1"/>
  <c r="G34" i="1" s="1"/>
  <c r="AA34" i="1" s="1" a="1"/>
  <c r="AA34" i="1" s="1"/>
  <c r="G126" i="1" a="1"/>
  <c r="G126" i="1" s="1"/>
  <c r="AA126" i="1" s="1" a="1"/>
  <c r="AA126" i="1" s="1"/>
  <c r="G86" i="1" a="1"/>
  <c r="G86" i="1" s="1"/>
  <c r="AA86" i="1" s="1" a="1"/>
  <c r="AA86" i="1" s="1"/>
  <c r="G123" i="1" a="1"/>
  <c r="G123" i="1" s="1"/>
  <c r="AA123" i="1" s="1" a="1"/>
  <c r="AA123" i="1" s="1"/>
  <c r="G109" i="1" a="1"/>
  <c r="G109" i="1" s="1"/>
  <c r="AA109" i="1" s="1" a="1"/>
  <c r="AA109" i="1" s="1"/>
  <c r="G41" i="1" a="1"/>
  <c r="G41" i="1" s="1"/>
  <c r="AA41" i="1" s="1" a="1"/>
  <c r="AA41" i="1" s="1"/>
  <c r="G117" i="1" a="1"/>
  <c r="G117" i="1" s="1"/>
  <c r="AA117" i="1" s="1" a="1"/>
  <c r="AA117" i="1" s="1"/>
  <c r="G99" i="1" a="1"/>
  <c r="G99" i="1" s="1"/>
  <c r="AA99" i="1" s="1" a="1"/>
  <c r="AA99" i="1" s="1"/>
  <c r="G120" i="1" a="1"/>
  <c r="G120" i="1" s="1"/>
  <c r="AA120" i="1" s="1" a="1"/>
  <c r="AA120" i="1" s="1"/>
  <c r="G169" i="1" a="1"/>
  <c r="G169" i="1" s="1"/>
  <c r="AA169" i="1" s="1" a="1"/>
  <c r="AA169" i="1" s="1"/>
  <c r="G113" i="1" a="1"/>
  <c r="G113" i="1" s="1"/>
  <c r="AA113" i="1" s="1" a="1"/>
  <c r="AA113" i="1" s="1"/>
  <c r="G162" i="1" a="1"/>
  <c r="G162" i="1" s="1"/>
  <c r="AA162" i="1" s="1" a="1"/>
  <c r="AA162" i="1" s="1"/>
  <c r="G112" i="1" a="1"/>
  <c r="G112" i="1" s="1"/>
  <c r="AA112" i="1" s="1" a="1"/>
  <c r="AA112" i="1" s="1"/>
  <c r="G158" i="1" a="1"/>
  <c r="G158" i="1" s="1"/>
  <c r="AA158" i="1" s="1" a="1"/>
  <c r="AA158" i="1" s="1"/>
  <c r="G146" i="1" a="1"/>
  <c r="G146" i="1" s="1"/>
  <c r="AA146" i="1" s="1" a="1"/>
  <c r="AA146" i="1" s="1"/>
  <c r="G174" i="1" a="1"/>
  <c r="G174" i="1" s="1"/>
  <c r="AA174" i="1" s="1" a="1"/>
  <c r="AA174" i="1" s="1"/>
  <c r="G128" i="1" a="1"/>
  <c r="G128" i="1" s="1"/>
  <c r="AA128" i="1" s="1" a="1"/>
  <c r="AA128" i="1" s="1"/>
  <c r="G77" i="1" a="1"/>
  <c r="G77" i="1" s="1"/>
  <c r="AA77" i="1" s="1" a="1"/>
  <c r="AA77" i="1" s="1"/>
  <c r="G98" i="1" a="1"/>
  <c r="G98" i="1" s="1"/>
  <c r="AA98" i="1" s="1" a="1"/>
  <c r="AA98" i="1" s="1"/>
  <c r="G111" i="1" a="1"/>
  <c r="G111" i="1" s="1"/>
  <c r="AA111" i="1" s="1" a="1"/>
  <c r="AA111" i="1" s="1"/>
  <c r="G108" i="1" a="1"/>
  <c r="G108" i="1" s="1"/>
  <c r="AA108" i="1" s="1" a="1"/>
  <c r="AA108" i="1" s="1"/>
  <c r="G142" i="1" a="1"/>
  <c r="G142" i="1" s="1"/>
  <c r="AA142" i="1" s="1" a="1"/>
  <c r="AA142" i="1" s="1"/>
  <c r="G69" i="1" a="1"/>
  <c r="G69" i="1" s="1"/>
  <c r="AA69" i="1" s="1" a="1"/>
  <c r="AA69" i="1" s="1"/>
  <c r="G173" i="1" a="1"/>
  <c r="G173" i="1" s="1"/>
  <c r="AA173" i="1" s="1" a="1"/>
  <c r="AA173" i="1" s="1"/>
  <c r="G76" i="1" a="1"/>
  <c r="G76" i="1" s="1"/>
  <c r="AA76" i="1" s="1" a="1"/>
  <c r="AA76" i="1" s="1"/>
  <c r="G47" i="1" a="1"/>
  <c r="G47" i="1" s="1"/>
  <c r="AA47" i="1" s="1" a="1"/>
  <c r="AA47" i="1" s="1"/>
  <c r="G110" i="1" a="1"/>
  <c r="G110" i="1" s="1"/>
  <c r="AA110" i="1" s="1" a="1"/>
  <c r="AA110" i="1" s="1"/>
  <c r="G65" i="1" a="1"/>
  <c r="G65" i="1" s="1"/>
  <c r="AA65" i="1" s="1" a="1"/>
  <c r="AA65" i="1" s="1"/>
  <c r="G139" i="1" a="1"/>
  <c r="G139" i="1" s="1"/>
  <c r="AA139" i="1" s="1" a="1"/>
  <c r="AA139" i="1" s="1"/>
  <c r="G87" i="1" a="1"/>
  <c r="G87" i="1" s="1"/>
  <c r="AA87" i="1" s="1" a="1"/>
  <c r="AA87" i="1" s="1"/>
  <c r="G13" i="1" a="1"/>
  <c r="G13" i="1" s="1"/>
  <c r="AA13" i="1" s="1" a="1"/>
  <c r="AA13" i="1" s="1"/>
  <c r="G115" i="1" a="1"/>
  <c r="G115" i="1" s="1"/>
  <c r="AA115" i="1" s="1" a="1"/>
  <c r="AA115" i="1" s="1"/>
  <c r="G130" i="1" a="1"/>
  <c r="G130" i="1" s="1"/>
  <c r="AA130" i="1" s="1" a="1"/>
  <c r="AA130" i="1" s="1"/>
  <c r="G37" i="1" a="1"/>
  <c r="G37" i="1" s="1"/>
  <c r="AA37" i="1" s="1" a="1"/>
  <c r="AA37" i="1" s="1"/>
  <c r="G150" i="1" a="1"/>
  <c r="G150" i="1" s="1"/>
  <c r="AA150" i="1" s="1" a="1"/>
  <c r="AA150" i="1" s="1"/>
  <c r="G4" i="1" a="1"/>
  <c r="G4" i="1" s="1"/>
  <c r="AA4" i="1" s="1" a="1"/>
  <c r="AA4" i="1" s="1"/>
  <c r="G161" i="1" a="1"/>
  <c r="G161" i="1" s="1"/>
  <c r="AA161" i="1" s="1" a="1"/>
  <c r="AA161" i="1" s="1"/>
  <c r="G132" i="1" a="1"/>
  <c r="G132" i="1" s="1"/>
  <c r="AA132" i="1" s="1" a="1"/>
  <c r="AA132" i="1" s="1"/>
  <c r="G125" i="1" a="1"/>
  <c r="G125" i="1" s="1"/>
  <c r="AA125" i="1" s="1" a="1"/>
  <c r="AA125" i="1" s="1"/>
  <c r="G61" i="1" a="1"/>
  <c r="G61" i="1" s="1"/>
  <c r="AA61" i="1" s="1" a="1"/>
  <c r="AA61" i="1" s="1"/>
  <c r="G165" i="1" a="1"/>
  <c r="G165" i="1" s="1"/>
  <c r="AA165" i="1" s="1" a="1"/>
  <c r="AA165" i="1" s="1"/>
  <c r="G68" i="1" a="1"/>
  <c r="G68" i="1" s="1"/>
  <c r="AA68" i="1" s="1" a="1"/>
  <c r="AA68" i="1" s="1"/>
  <c r="G40" i="1" a="1"/>
  <c r="G40" i="1" s="1"/>
  <c r="AA40" i="1" s="1" a="1"/>
  <c r="AA40" i="1" s="1"/>
  <c r="G96" i="1" a="1"/>
  <c r="G96" i="1" s="1"/>
  <c r="AA96" i="1" s="1" a="1"/>
  <c r="AA96" i="1" s="1"/>
  <c r="G52" i="1" a="1"/>
  <c r="G52" i="1" s="1"/>
  <c r="AA52" i="1" s="1" a="1"/>
  <c r="AA52" i="1" s="1"/>
  <c r="G133" i="1" a="1"/>
  <c r="G133" i="1" s="1"/>
  <c r="AA133" i="1" s="1" a="1"/>
  <c r="AA133" i="1" s="1"/>
  <c r="G72" i="1" a="1"/>
  <c r="G72" i="1" s="1"/>
  <c r="AA72" i="1" s="1" a="1"/>
  <c r="AA72" i="1" s="1"/>
  <c r="G7" i="1" a="1"/>
  <c r="G7" i="1" s="1"/>
  <c r="AA7" i="1" s="1" a="1"/>
  <c r="AA7" i="1" s="1"/>
  <c r="G107" i="1" a="1"/>
  <c r="G107" i="1" s="1"/>
  <c r="AA107" i="1" s="1" a="1"/>
  <c r="AA107" i="1" s="1"/>
  <c r="G114" i="1" a="1"/>
  <c r="G114" i="1" s="1"/>
  <c r="AA114" i="1" s="1" a="1"/>
  <c r="AA114" i="1" s="1"/>
  <c r="G30" i="1" a="1"/>
  <c r="G30" i="1" s="1"/>
  <c r="AA30" i="1" s="1" a="1"/>
  <c r="AA30" i="1" s="1"/>
  <c r="G137" i="1" a="1"/>
  <c r="G137" i="1" s="1"/>
  <c r="AA137" i="1" s="1" a="1"/>
  <c r="AA137" i="1" s="1"/>
  <c r="G187" i="3" a="1"/>
  <c r="G187" i="3" s="1"/>
  <c r="AA187" i="3" s="1" a="1"/>
  <c r="AA187" i="3" s="1"/>
  <c r="G186" i="3" a="1"/>
  <c r="G186" i="3" s="1"/>
  <c r="AA186" i="3" s="1" a="1"/>
  <c r="AA186" i="3" s="1"/>
  <c r="G184" i="3" a="1"/>
  <c r="G184" i="3" s="1"/>
  <c r="AA184" i="3" s="1" a="1"/>
  <c r="AA184" i="3" s="1"/>
  <c r="G188" i="3" a="1"/>
  <c r="G188" i="3" s="1"/>
  <c r="AA188" i="3" s="1" a="1"/>
  <c r="AA188" i="3" s="1"/>
  <c r="G183" i="3" a="1"/>
  <c r="G183" i="3" s="1"/>
  <c r="AA183" i="3" s="1" a="1"/>
  <c r="AA183" i="3" s="1"/>
  <c r="G3" i="3" a="1"/>
  <c r="G3" i="3" s="1"/>
  <c r="AA3" i="3" s="1" a="1"/>
  <c r="AA3" i="3" s="1"/>
  <c r="G5" i="3" a="1"/>
  <c r="G5" i="3" s="1"/>
  <c r="AA5" i="3" s="1" a="1"/>
  <c r="AA5" i="3" s="1"/>
  <c r="G6" i="3" a="1"/>
  <c r="G6" i="3" s="1"/>
  <c r="AA6" i="3" s="1" a="1"/>
  <c r="AA6" i="3" s="1"/>
  <c r="G9" i="3" a="1"/>
  <c r="G9" i="3" s="1"/>
  <c r="AA9" i="3" s="1" a="1"/>
  <c r="AA9" i="3" s="1"/>
  <c r="G11" i="3" a="1"/>
  <c r="G11" i="3" s="1"/>
  <c r="AA11" i="3" s="1" a="1"/>
  <c r="AA11" i="3" s="1"/>
  <c r="G7" i="3" a="1"/>
  <c r="G7" i="3" s="1"/>
  <c r="AA7" i="3" s="1" a="1"/>
  <c r="AA7" i="3" s="1"/>
  <c r="F2" i="3"/>
  <c r="G2" i="3" s="1" a="1"/>
  <c r="G2" i="3" s="1"/>
  <c r="AA2" i="3" s="1" a="1"/>
  <c r="AA2" i="3" s="1"/>
  <c r="G4" i="3" a="1"/>
  <c r="G4" i="3" s="1"/>
  <c r="AA4" i="3" s="1" a="1"/>
  <c r="AA4" i="3" s="1"/>
  <c r="G8" i="3" a="1"/>
  <c r="G8" i="3" s="1"/>
  <c r="AA8" i="3" s="1" a="1"/>
  <c r="AA8" i="3" s="1"/>
  <c r="G10" i="3" a="1"/>
  <c r="G10" i="3" s="1"/>
  <c r="AA10" i="3" s="1" a="1"/>
  <c r="AA10" i="3" s="1"/>
  <c r="G12" i="3" a="1"/>
  <c r="G12" i="3" s="1"/>
  <c r="AA12" i="3" s="1" a="1"/>
  <c r="AA12" i="3" s="1"/>
  <c r="AA198" i="4" a="1"/>
  <c r="AA198" i="4" s="1"/>
  <c r="AA199" i="4" a="1"/>
  <c r="AA199" i="4" s="1"/>
  <c r="AA200" i="4" a="1"/>
  <c r="AA200" i="4" s="1"/>
  <c r="AA201" i="4" a="1"/>
  <c r="AA201" i="4" s="1"/>
  <c r="AA193" i="4" a="1"/>
  <c r="AA193" i="4" s="1"/>
  <c r="AA192" i="4" a="1"/>
  <c r="AA192" i="4" s="1"/>
  <c r="AA197" i="4" a="1"/>
  <c r="AA197" i="4" s="1"/>
  <c r="AA196" i="4" a="1"/>
  <c r="AA196" i="4" s="1"/>
  <c r="AA195" i="4" a="1"/>
  <c r="AA195" i="4" s="1"/>
  <c r="AA194" i="4" a="1"/>
  <c r="AA194" i="4" s="1"/>
  <c r="AA191" i="4" a="1"/>
  <c r="AA191" i="4" s="1"/>
  <c r="AA190" i="4" a="1"/>
  <c r="AA190" i="4" s="1"/>
  <c r="AA184" i="4" a="1"/>
  <c r="AA184" i="4" s="1"/>
  <c r="AA187" i="4" a="1"/>
  <c r="AA187" i="4" s="1"/>
  <c r="AA185" i="4" a="1"/>
  <c r="AA185" i="4" s="1"/>
  <c r="G161" i="4" a="1"/>
  <c r="G161" i="4" s="1"/>
  <c r="AA161" i="4" s="1" a="1"/>
  <c r="AA161" i="4" s="1"/>
  <c r="G144" i="4" a="1"/>
  <c r="G144" i="4" s="1"/>
  <c r="AA144" i="4" s="1" a="1"/>
  <c r="AA144" i="4" s="1"/>
  <c r="G141" i="4" a="1"/>
  <c r="G141" i="4" s="1"/>
  <c r="AA141" i="4" s="1" a="1"/>
  <c r="AA141" i="4" s="1"/>
  <c r="G124" i="4" a="1"/>
  <c r="G124" i="4" s="1"/>
  <c r="AA124" i="4" s="1" a="1"/>
  <c r="AA124" i="4" s="1"/>
  <c r="G121" i="4" a="1"/>
  <c r="G121" i="4" s="1"/>
  <c r="AA121" i="4" s="1" a="1"/>
  <c r="AA121" i="4" s="1"/>
  <c r="G107" i="4" a="1"/>
  <c r="G107" i="4" s="1"/>
  <c r="AA107" i="4" s="1" a="1"/>
  <c r="AA107" i="4" s="1"/>
  <c r="G102" i="4" a="1"/>
  <c r="G102" i="4" s="1"/>
  <c r="AA102" i="4" s="1" a="1"/>
  <c r="AA102" i="4" s="1"/>
  <c r="G97" i="4" a="1"/>
  <c r="G97" i="4" s="1"/>
  <c r="AA97" i="4" s="1" a="1"/>
  <c r="AA97" i="4" s="1"/>
  <c r="G92" i="4" a="1"/>
  <c r="G92" i="4" s="1"/>
  <c r="AA92" i="4" s="1" a="1"/>
  <c r="AA92" i="4" s="1"/>
  <c r="G87" i="4" a="1"/>
  <c r="G87" i="4" s="1"/>
  <c r="AA87" i="4" s="1" a="1"/>
  <c r="AA87" i="4" s="1"/>
  <c r="G82" i="4" a="1"/>
  <c r="G82" i="4" s="1"/>
  <c r="AA82" i="4" s="1" a="1"/>
  <c r="AA82" i="4" s="1"/>
  <c r="G77" i="4" a="1"/>
  <c r="G77" i="4" s="1"/>
  <c r="AA77" i="4" s="1" a="1"/>
  <c r="AA77" i="4" s="1"/>
  <c r="G72" i="4" a="1"/>
  <c r="G72" i="4" s="1"/>
  <c r="AA72" i="4" s="1" a="1"/>
  <c r="AA72" i="4" s="1"/>
  <c r="G67" i="4" a="1"/>
  <c r="G67" i="4" s="1"/>
  <c r="AA67" i="4" s="1" a="1"/>
  <c r="AA67" i="4" s="1"/>
  <c r="G57" i="4" a="1"/>
  <c r="G57" i="4" s="1"/>
  <c r="AA57" i="4" s="1" a="1"/>
  <c r="AA57" i="4" s="1"/>
  <c r="G47" i="4" a="1"/>
  <c r="G47" i="4" s="1"/>
  <c r="AA47" i="4" s="1" a="1"/>
  <c r="AA47" i="4" s="1"/>
  <c r="G177" i="4" a="1"/>
  <c r="G177" i="4" s="1"/>
  <c r="AA177" i="4" s="1" a="1"/>
  <c r="AA177" i="4" s="1"/>
  <c r="G174" i="4" a="1"/>
  <c r="G174" i="4" s="1"/>
  <c r="AA174" i="4" s="1" a="1"/>
  <c r="AA174" i="4" s="1"/>
  <c r="G167" i="4" a="1"/>
  <c r="G167" i="4" s="1"/>
  <c r="AA167" i="4" s="1" a="1"/>
  <c r="AA167" i="4" s="1"/>
  <c r="G164" i="4" a="1"/>
  <c r="G164" i="4" s="1"/>
  <c r="AA164" i="4" s="1" a="1"/>
  <c r="AA164" i="4" s="1"/>
  <c r="G158" i="4" a="1"/>
  <c r="G158" i="4" s="1"/>
  <c r="AA158" i="4" s="1" a="1"/>
  <c r="AA158" i="4" s="1"/>
  <c r="G155" i="4" a="1"/>
  <c r="G155" i="4" s="1"/>
  <c r="AA155" i="4" s="1" a="1"/>
  <c r="AA155" i="4" s="1"/>
  <c r="G138" i="4" a="1"/>
  <c r="G138" i="4" s="1"/>
  <c r="AA138" i="4" s="1" a="1"/>
  <c r="AA138" i="4" s="1"/>
  <c r="G135" i="4" a="1"/>
  <c r="G135" i="4" s="1"/>
  <c r="AA135" i="4" s="1" a="1"/>
  <c r="AA135" i="4" s="1"/>
  <c r="G118" i="4" a="1"/>
  <c r="G118" i="4" s="1"/>
  <c r="AA118" i="4" s="1" a="1"/>
  <c r="AA118" i="4" s="1"/>
  <c r="G115" i="4" a="1"/>
  <c r="G115" i="4" s="1"/>
  <c r="AA115" i="4" s="1" a="1"/>
  <c r="AA115" i="4" s="1"/>
  <c r="G5" i="4" a="1"/>
  <c r="G5" i="4" s="1"/>
  <c r="AA5" i="4" s="1" a="1"/>
  <c r="AA5" i="4" s="1"/>
  <c r="G3" i="4" a="1"/>
  <c r="G3" i="4" s="1"/>
  <c r="AA3" i="4" s="1" a="1"/>
  <c r="AA3" i="4" s="1"/>
  <c r="G152" i="4" a="1"/>
  <c r="G152" i="4" s="1"/>
  <c r="AA152" i="4" s="1" a="1"/>
  <c r="AA152" i="4" s="1"/>
  <c r="G149" i="4" a="1"/>
  <c r="G149" i="4" s="1"/>
  <c r="AA149" i="4" s="1" a="1"/>
  <c r="AA149" i="4" s="1"/>
  <c r="G132" i="4" a="1"/>
  <c r="G132" i="4" s="1"/>
  <c r="AA132" i="4" s="1" a="1"/>
  <c r="AA132" i="4" s="1"/>
  <c r="G129" i="4" a="1"/>
  <c r="G129" i="4" s="1"/>
  <c r="AA129" i="4" s="1" a="1"/>
  <c r="AA129" i="4" s="1"/>
  <c r="G112" i="4" a="1"/>
  <c r="G112" i="4" s="1"/>
  <c r="AA112" i="4" s="1" a="1"/>
  <c r="AA112" i="4" s="1"/>
  <c r="G109" i="4" a="1"/>
  <c r="G109" i="4" s="1"/>
  <c r="AA109" i="4" s="1" a="1"/>
  <c r="AA109" i="4" s="1"/>
  <c r="G104" i="4" a="1"/>
  <c r="G104" i="4" s="1"/>
  <c r="AA104" i="4" s="1" a="1"/>
  <c r="AA104" i="4" s="1"/>
  <c r="G99" i="4" a="1"/>
  <c r="G99" i="4" s="1"/>
  <c r="AA99" i="4" s="1" a="1"/>
  <c r="AA99" i="4" s="1"/>
  <c r="G94" i="4" a="1"/>
  <c r="G94" i="4" s="1"/>
  <c r="AA94" i="4" s="1" a="1"/>
  <c r="AA94" i="4" s="1"/>
  <c r="G89" i="4" a="1"/>
  <c r="G89" i="4" s="1"/>
  <c r="AA89" i="4" s="1" a="1"/>
  <c r="AA89" i="4" s="1"/>
  <c r="G84" i="4" a="1"/>
  <c r="G84" i="4" s="1"/>
  <c r="AA84" i="4" s="1" a="1"/>
  <c r="AA84" i="4" s="1"/>
  <c r="G79" i="4" a="1"/>
  <c r="G79" i="4" s="1"/>
  <c r="AA79" i="4" s="1" a="1"/>
  <c r="AA79" i="4" s="1"/>
  <c r="G74" i="4" a="1"/>
  <c r="G74" i="4" s="1"/>
  <c r="AA74" i="4" s="1" a="1"/>
  <c r="AA74" i="4" s="1"/>
  <c r="G69" i="4" a="1"/>
  <c r="G69" i="4" s="1"/>
  <c r="AA69" i="4" s="1" a="1"/>
  <c r="AA69" i="4" s="1"/>
  <c r="G64" i="4" a="1"/>
  <c r="G64" i="4" s="1"/>
  <c r="AA64" i="4" s="1" a="1"/>
  <c r="AA64" i="4" s="1"/>
  <c r="G59" i="4" a="1"/>
  <c r="G59" i="4" s="1"/>
  <c r="AA59" i="4" s="1" a="1"/>
  <c r="AA59" i="4" s="1"/>
  <c r="AA189" i="4" a="1"/>
  <c r="AA189" i="4" s="1"/>
  <c r="AA183" i="4" a="1"/>
  <c r="AA183" i="4" s="1"/>
  <c r="G180" i="4" a="1"/>
  <c r="G180" i="4" s="1"/>
  <c r="AA180" i="4" s="1" a="1"/>
  <c r="AA180" i="4" s="1"/>
  <c r="G173" i="4" a="1"/>
  <c r="G173" i="4" s="1"/>
  <c r="AA173" i="4" s="1" a="1"/>
  <c r="AA173" i="4" s="1"/>
  <c r="G170" i="4" a="1"/>
  <c r="G170" i="4" s="1"/>
  <c r="AA170" i="4" s="1" a="1"/>
  <c r="AA170" i="4" s="1"/>
  <c r="G163" i="4" a="1"/>
  <c r="G163" i="4" s="1"/>
  <c r="AA163" i="4" s="1" a="1"/>
  <c r="AA163" i="4" s="1"/>
  <c r="G146" i="4" a="1"/>
  <c r="G146" i="4" s="1"/>
  <c r="AA146" i="4" s="1" a="1"/>
  <c r="AA146" i="4" s="1"/>
  <c r="G143" i="4" a="1"/>
  <c r="G143" i="4" s="1"/>
  <c r="AA143" i="4" s="1" a="1"/>
  <c r="AA143" i="4" s="1"/>
  <c r="G126" i="4" a="1"/>
  <c r="G126" i="4" s="1"/>
  <c r="AA126" i="4" s="1" a="1"/>
  <c r="AA126" i="4" s="1"/>
  <c r="G160" i="4" a="1"/>
  <c r="G160" i="4" s="1"/>
  <c r="AA160" i="4" s="1" a="1"/>
  <c r="AA160" i="4" s="1"/>
  <c r="G157" i="4" a="1"/>
  <c r="G157" i="4" s="1"/>
  <c r="AA157" i="4" s="1" a="1"/>
  <c r="AA157" i="4" s="1"/>
  <c r="G140" i="4" a="1"/>
  <c r="G140" i="4" s="1"/>
  <c r="AA140" i="4" s="1" a="1"/>
  <c r="AA140" i="4" s="1"/>
  <c r="G137" i="4" a="1"/>
  <c r="G137" i="4" s="1"/>
  <c r="AA137" i="4" s="1" a="1"/>
  <c r="AA137" i="4" s="1"/>
  <c r="G120" i="4" a="1"/>
  <c r="G120" i="4" s="1"/>
  <c r="AA120" i="4" s="1" a="1"/>
  <c r="AA120" i="4" s="1"/>
  <c r="G117" i="4" a="1"/>
  <c r="G117" i="4" s="1"/>
  <c r="AA117" i="4" s="1" a="1"/>
  <c r="AA117" i="4" s="1"/>
  <c r="G106" i="4" a="1"/>
  <c r="G106" i="4" s="1"/>
  <c r="AA106" i="4" s="1" a="1"/>
  <c r="AA106" i="4" s="1"/>
  <c r="AA188" i="4" a="1"/>
  <c r="AA188" i="4" s="1"/>
  <c r="G179" i="4" a="1"/>
  <c r="G179" i="4" s="1"/>
  <c r="AA179" i="4" s="1" a="1"/>
  <c r="AA179" i="4" s="1"/>
  <c r="G176" i="4" a="1"/>
  <c r="G176" i="4" s="1"/>
  <c r="AA176" i="4" s="1" a="1"/>
  <c r="AA176" i="4" s="1"/>
  <c r="G169" i="4" a="1"/>
  <c r="G169" i="4" s="1"/>
  <c r="AA169" i="4" s="1" a="1"/>
  <c r="AA169" i="4" s="1"/>
  <c r="G166" i="4" a="1"/>
  <c r="G166" i="4" s="1"/>
  <c r="AA166" i="4" s="1" a="1"/>
  <c r="AA166" i="4" s="1"/>
  <c r="G154" i="4" a="1"/>
  <c r="G154" i="4" s="1"/>
  <c r="AA154" i="4" s="1" a="1"/>
  <c r="AA154" i="4" s="1"/>
  <c r="G151" i="4" a="1"/>
  <c r="G151" i="4" s="1"/>
  <c r="AA151" i="4" s="1" a="1"/>
  <c r="AA151" i="4" s="1"/>
  <c r="G134" i="4" a="1"/>
  <c r="G134" i="4" s="1"/>
  <c r="AA134" i="4" s="1" a="1"/>
  <c r="AA134" i="4" s="1"/>
  <c r="G148" i="4" a="1"/>
  <c r="G148" i="4" s="1"/>
  <c r="AA148" i="4" s="1" a="1"/>
  <c r="AA148" i="4" s="1"/>
  <c r="G145" i="4" a="1"/>
  <c r="G145" i="4" s="1"/>
  <c r="AA145" i="4" s="1" a="1"/>
  <c r="AA145" i="4" s="1"/>
  <c r="G128" i="4" a="1"/>
  <c r="G128" i="4" s="1"/>
  <c r="AA128" i="4" s="1" a="1"/>
  <c r="AA128" i="4" s="1"/>
  <c r="G125" i="4" a="1"/>
  <c r="G125" i="4" s="1"/>
  <c r="AA125" i="4" s="1" a="1"/>
  <c r="AA125" i="4" s="1"/>
  <c r="G108" i="4" a="1"/>
  <c r="G108" i="4" s="1"/>
  <c r="AA108" i="4" s="1" a="1"/>
  <c r="AA108" i="4" s="1"/>
  <c r="G103" i="4" a="1"/>
  <c r="G103" i="4" s="1"/>
  <c r="AA103" i="4" s="1" a="1"/>
  <c r="AA103" i="4" s="1"/>
  <c r="G182" i="4" a="1"/>
  <c r="G182" i="4" s="1"/>
  <c r="AA182" i="4" s="1" a="1"/>
  <c r="AA182" i="4" s="1"/>
  <c r="G175" i="4" a="1"/>
  <c r="G175" i="4" s="1"/>
  <c r="AA175" i="4" s="1" a="1"/>
  <c r="AA175" i="4" s="1"/>
  <c r="G172" i="4" a="1"/>
  <c r="G172" i="4" s="1"/>
  <c r="AA172" i="4" s="1" a="1"/>
  <c r="AA172" i="4" s="1"/>
  <c r="G165" i="4" a="1"/>
  <c r="G165" i="4" s="1"/>
  <c r="AA165" i="4" s="1" a="1"/>
  <c r="AA165" i="4" s="1"/>
  <c r="G162" i="4" a="1"/>
  <c r="G162" i="4" s="1"/>
  <c r="AA162" i="4" s="1" a="1"/>
  <c r="AA162" i="4" s="1"/>
  <c r="G159" i="4" a="1"/>
  <c r="G159" i="4" s="1"/>
  <c r="AA159" i="4" s="1" a="1"/>
  <c r="AA159" i="4" s="1"/>
  <c r="G142" i="4" a="1"/>
  <c r="G142" i="4" s="1"/>
  <c r="AA142" i="4" s="1" a="1"/>
  <c r="AA142" i="4" s="1"/>
  <c r="AA186" i="4" a="1"/>
  <c r="AA186" i="4" s="1"/>
  <c r="G156" i="4" a="1"/>
  <c r="G156" i="4" s="1"/>
  <c r="AA156" i="4" s="1" a="1"/>
  <c r="AA156" i="4" s="1"/>
  <c r="G153" i="4" a="1"/>
  <c r="G153" i="4" s="1"/>
  <c r="AA153" i="4" s="1" a="1"/>
  <c r="AA153" i="4" s="1"/>
  <c r="G136" i="4" a="1"/>
  <c r="G136" i="4" s="1"/>
  <c r="AA136" i="4" s="1" a="1"/>
  <c r="AA136" i="4" s="1"/>
  <c r="G133" i="4" a="1"/>
  <c r="G133" i="4" s="1"/>
  <c r="AA133" i="4" s="1" a="1"/>
  <c r="AA133" i="4" s="1"/>
  <c r="G116" i="4" a="1"/>
  <c r="G116" i="4" s="1"/>
  <c r="AA116" i="4" s="1" a="1"/>
  <c r="AA116" i="4" s="1"/>
  <c r="G113" i="4" a="1"/>
  <c r="G113" i="4" s="1"/>
  <c r="AA113" i="4" s="1" a="1"/>
  <c r="AA113" i="4" s="1"/>
  <c r="G105" i="4" a="1"/>
  <c r="G105" i="4" s="1"/>
  <c r="AA105" i="4" s="1" a="1"/>
  <c r="AA105" i="4" s="1"/>
  <c r="G181" i="4" a="1"/>
  <c r="G181" i="4" s="1"/>
  <c r="AA181" i="4" s="1" a="1"/>
  <c r="AA181" i="4" s="1"/>
  <c r="G178" i="4" a="1"/>
  <c r="G178" i="4" s="1"/>
  <c r="AA178" i="4" s="1" a="1"/>
  <c r="AA178" i="4" s="1"/>
  <c r="G171" i="4" a="1"/>
  <c r="G171" i="4" s="1"/>
  <c r="AA171" i="4" s="1" a="1"/>
  <c r="AA171" i="4" s="1"/>
  <c r="G168" i="4" a="1"/>
  <c r="G168" i="4" s="1"/>
  <c r="AA168" i="4" s="1" a="1"/>
  <c r="AA168" i="4" s="1"/>
  <c r="G150" i="4" a="1"/>
  <c r="G150" i="4" s="1"/>
  <c r="AA150" i="4" s="1" a="1"/>
  <c r="AA150" i="4" s="1"/>
  <c r="G147" i="4" a="1"/>
  <c r="G147" i="4" s="1"/>
  <c r="AA147" i="4" s="1" a="1"/>
  <c r="AA147" i="4" s="1"/>
  <c r="G130" i="4" a="1"/>
  <c r="G130" i="4" s="1"/>
  <c r="AA130" i="4" s="1" a="1"/>
  <c r="AA130" i="4" s="1"/>
  <c r="G127" i="4" a="1"/>
  <c r="G127" i="4" s="1"/>
  <c r="AA127" i="4" s="1" a="1"/>
  <c r="AA127" i="4" s="1"/>
  <c r="G110" i="4" a="1"/>
  <c r="G110" i="4" s="1"/>
  <c r="AA110" i="4" s="1" a="1"/>
  <c r="AA110" i="4" s="1"/>
  <c r="G62" i="4" a="1"/>
  <c r="G62" i="4" s="1"/>
  <c r="AA62" i="4" s="1" a="1"/>
  <c r="AA62" i="4" s="1"/>
  <c r="G52" i="4" a="1"/>
  <c r="G52" i="4" s="1"/>
  <c r="AA52" i="4" s="1" a="1"/>
  <c r="AA52" i="4" s="1"/>
  <c r="G119" i="4" a="1"/>
  <c r="G119" i="4" s="1"/>
  <c r="AA119" i="4" s="1" a="1"/>
  <c r="AA119" i="4" s="1"/>
  <c r="G98" i="4" a="1"/>
  <c r="G98" i="4" s="1"/>
  <c r="AA98" i="4" s="1" a="1"/>
  <c r="AA98" i="4" s="1"/>
  <c r="G90" i="4" a="1"/>
  <c r="G90" i="4" s="1"/>
  <c r="AA90" i="4" s="1" a="1"/>
  <c r="AA90" i="4" s="1"/>
  <c r="G81" i="4" a="1"/>
  <c r="G81" i="4" s="1"/>
  <c r="AA81" i="4" s="1" a="1"/>
  <c r="AA81" i="4" s="1"/>
  <c r="G73" i="4" a="1"/>
  <c r="G73" i="4" s="1"/>
  <c r="AA73" i="4" s="1" a="1"/>
  <c r="AA73" i="4" s="1"/>
  <c r="G65" i="4" a="1"/>
  <c r="G65" i="4" s="1"/>
  <c r="AA65" i="4" s="1" a="1"/>
  <c r="AA65" i="4" s="1"/>
  <c r="G49" i="4" a="1"/>
  <c r="G49" i="4" s="1"/>
  <c r="AA49" i="4" s="1" a="1"/>
  <c r="AA49" i="4" s="1"/>
  <c r="G41" i="4" a="1"/>
  <c r="G41" i="4" s="1"/>
  <c r="AA41" i="4" s="1" a="1"/>
  <c r="AA41" i="4" s="1"/>
  <c r="G31" i="4" a="1"/>
  <c r="G31" i="4" s="1"/>
  <c r="AA31" i="4" s="1" a="1"/>
  <c r="AA31" i="4" s="1"/>
  <c r="G21" i="4" a="1"/>
  <c r="G21" i="4" s="1"/>
  <c r="AA21" i="4" s="1" a="1"/>
  <c r="AA21" i="4" s="1"/>
  <c r="G11" i="4" a="1"/>
  <c r="G11" i="4" s="1"/>
  <c r="AA11" i="4" s="1" a="1"/>
  <c r="AA11" i="4" s="1"/>
  <c r="G20" i="4" a="1"/>
  <c r="G20" i="4" s="1"/>
  <c r="AA20" i="4" s="1" a="1"/>
  <c r="AA20" i="4" s="1"/>
  <c r="G54" i="4" a="1"/>
  <c r="G54" i="4" s="1"/>
  <c r="AA54" i="4" s="1" a="1"/>
  <c r="AA54" i="4" s="1"/>
  <c r="G17" i="4" a="1"/>
  <c r="G17" i="4" s="1"/>
  <c r="AA17" i="4" s="1" a="1"/>
  <c r="AA17" i="4" s="1"/>
  <c r="G9" i="4" a="1"/>
  <c r="G9" i="4" s="1"/>
  <c r="AA9" i="4" s="1" a="1"/>
  <c r="AA9" i="4" s="1"/>
  <c r="G56" i="4" a="1"/>
  <c r="G56" i="4" s="1"/>
  <c r="AA56" i="4" s="1" a="1"/>
  <c r="AA56" i="4" s="1"/>
  <c r="G6" i="4" a="1"/>
  <c r="G6" i="4" s="1"/>
  <c r="AA6" i="4" s="1" a="1"/>
  <c r="AA6" i="4" s="1"/>
  <c r="G68" i="4" a="1"/>
  <c r="G68" i="4" s="1"/>
  <c r="AA68" i="4" s="1" a="1"/>
  <c r="AA68" i="4" s="1"/>
  <c r="G43" i="4" a="1"/>
  <c r="G43" i="4" s="1"/>
  <c r="AA43" i="4" s="1" a="1"/>
  <c r="AA43" i="4" s="1"/>
  <c r="G33" i="4" a="1"/>
  <c r="G33" i="4" s="1"/>
  <c r="AA33" i="4" s="1" a="1"/>
  <c r="AA33" i="4" s="1"/>
  <c r="G23" i="4" a="1"/>
  <c r="G23" i="4" s="1"/>
  <c r="AA23" i="4" s="1" a="1"/>
  <c r="AA23" i="4" s="1"/>
  <c r="G13" i="4" a="1"/>
  <c r="G13" i="4" s="1"/>
  <c r="AA13" i="4" s="1" a="1"/>
  <c r="AA13" i="4" s="1"/>
  <c r="G45" i="4" a="1"/>
  <c r="G45" i="4" s="1"/>
  <c r="AA45" i="4" s="1" a="1"/>
  <c r="AA45" i="4" s="1"/>
  <c r="G35" i="4" a="1"/>
  <c r="G35" i="4" s="1"/>
  <c r="AA35" i="4" s="1" a="1"/>
  <c r="AA35" i="4" s="1"/>
  <c r="G37" i="4" a="1"/>
  <c r="G37" i="4" s="1"/>
  <c r="AA37" i="4" s="1" a="1"/>
  <c r="AA37" i="4" s="1"/>
  <c r="G7" i="4" a="1"/>
  <c r="G7" i="4" s="1"/>
  <c r="AA7" i="4" s="1" a="1"/>
  <c r="AA7" i="4" s="1"/>
  <c r="G101" i="4" a="1"/>
  <c r="G101" i="4" s="1"/>
  <c r="AA101" i="4" s="1" a="1"/>
  <c r="AA101" i="4" s="1"/>
  <c r="G93" i="4" a="1"/>
  <c r="G93" i="4" s="1"/>
  <c r="AA93" i="4" s="1" a="1"/>
  <c r="AA93" i="4" s="1"/>
  <c r="G85" i="4" a="1"/>
  <c r="G85" i="4" s="1"/>
  <c r="AA85" i="4" s="1" a="1"/>
  <c r="AA85" i="4" s="1"/>
  <c r="G76" i="4" a="1"/>
  <c r="G76" i="4" s="1"/>
  <c r="AA76" i="4" s="1" a="1"/>
  <c r="AA76" i="4" s="1"/>
  <c r="G60" i="4" a="1"/>
  <c r="G60" i="4" s="1"/>
  <c r="AA60" i="4" s="1" a="1"/>
  <c r="AA60" i="4" s="1"/>
  <c r="G38" i="4" a="1"/>
  <c r="G38" i="4" s="1"/>
  <c r="AA38" i="4" s="1" a="1"/>
  <c r="AA38" i="4" s="1"/>
  <c r="G28" i="4" a="1"/>
  <c r="G28" i="4" s="1"/>
  <c r="AA28" i="4" s="1" a="1"/>
  <c r="AA28" i="4" s="1"/>
  <c r="G18" i="4" a="1"/>
  <c r="G18" i="4" s="1"/>
  <c r="AA18" i="4" s="1" a="1"/>
  <c r="AA18" i="4" s="1"/>
  <c r="G8" i="4" a="1"/>
  <c r="G8" i="4" s="1"/>
  <c r="AA8" i="4" s="1" a="1"/>
  <c r="AA8" i="4" s="1"/>
  <c r="G40" i="4" a="1"/>
  <c r="G40" i="4" s="1"/>
  <c r="AA40" i="4" s="1" a="1"/>
  <c r="AA40" i="4" s="1"/>
  <c r="G15" i="4" a="1"/>
  <c r="G15" i="4" s="1"/>
  <c r="AA15" i="4" s="1" a="1"/>
  <c r="AA15" i="4" s="1"/>
  <c r="G66" i="4" a="1"/>
  <c r="G66" i="4" s="1"/>
  <c r="AA66" i="4" s="1" a="1"/>
  <c r="AA66" i="4" s="1"/>
  <c r="G12" i="4" a="1"/>
  <c r="G12" i="4" s="1"/>
  <c r="AA12" i="4" s="1" a="1"/>
  <c r="AA12" i="4" s="1"/>
  <c r="G96" i="4" a="1"/>
  <c r="G96" i="4" s="1"/>
  <c r="AA96" i="4" s="1" a="1"/>
  <c r="AA96" i="4" s="1"/>
  <c r="G80" i="4" a="1"/>
  <c r="G80" i="4" s="1"/>
  <c r="AA80" i="4" s="1" a="1"/>
  <c r="AA80" i="4" s="1"/>
  <c r="G63" i="4" a="1"/>
  <c r="G63" i="4" s="1"/>
  <c r="AA63" i="4" s="1" a="1"/>
  <c r="AA63" i="4" s="1"/>
  <c r="G30" i="4" a="1"/>
  <c r="G30" i="4" s="1"/>
  <c r="AA30" i="4" s="1" a="1"/>
  <c r="AA30" i="4" s="1"/>
  <c r="G27" i="4" a="1"/>
  <c r="G27" i="4" s="1"/>
  <c r="AA27" i="4" s="1" a="1"/>
  <c r="AA27" i="4" s="1"/>
  <c r="G88" i="4" a="1"/>
  <c r="G88" i="4" s="1"/>
  <c r="AA88" i="4" s="1" a="1"/>
  <c r="AA88" i="4" s="1"/>
  <c r="G71" i="4" a="1"/>
  <c r="G71" i="4" s="1"/>
  <c r="AA71" i="4" s="1" a="1"/>
  <c r="AA71" i="4" s="1"/>
  <c r="G48" i="4" a="1"/>
  <c r="G48" i="4" s="1"/>
  <c r="AA48" i="4" s="1" a="1"/>
  <c r="AA48" i="4" s="1"/>
  <c r="G25" i="4" a="1"/>
  <c r="G25" i="4" s="1"/>
  <c r="AA25" i="4" s="1" a="1"/>
  <c r="AA25" i="4" s="1"/>
  <c r="G58" i="4" a="1"/>
  <c r="G58" i="4" s="1"/>
  <c r="AA58" i="4" s="1" a="1"/>
  <c r="AA58" i="4" s="1"/>
  <c r="G24" i="4" a="1"/>
  <c r="G24" i="4" s="1"/>
  <c r="AA24" i="4" s="1" a="1"/>
  <c r="AA24" i="4" s="1"/>
  <c r="G123" i="4" a="1"/>
  <c r="G123" i="4" s="1"/>
  <c r="AA123" i="4" s="1" a="1"/>
  <c r="AA123" i="4" s="1"/>
  <c r="G114" i="4" a="1"/>
  <c r="G114" i="4" s="1"/>
  <c r="AA114" i="4" s="1" a="1"/>
  <c r="AA114" i="4" s="1"/>
  <c r="G55" i="4" a="1"/>
  <c r="G55" i="4" s="1"/>
  <c r="AA55" i="4" s="1" a="1"/>
  <c r="AA55" i="4" s="1"/>
  <c r="G51" i="4" a="1"/>
  <c r="G51" i="4" s="1"/>
  <c r="AA51" i="4" s="1" a="1"/>
  <c r="AA51" i="4" s="1"/>
  <c r="G42" i="4" a="1"/>
  <c r="G42" i="4" s="1"/>
  <c r="AA42" i="4" s="1" a="1"/>
  <c r="AA42" i="4" s="1"/>
  <c r="G14" i="4" a="1"/>
  <c r="G14" i="4" s="1"/>
  <c r="AA14" i="4" s="1" a="1"/>
  <c r="AA14" i="4" s="1"/>
  <c r="G139" i="4" a="1"/>
  <c r="G139" i="4" s="1"/>
  <c r="AA139" i="4" s="1" a="1"/>
  <c r="AA139" i="4" s="1"/>
  <c r="G100" i="4" a="1"/>
  <c r="G100" i="4" s="1"/>
  <c r="AA100" i="4" s="1" a="1"/>
  <c r="AA100" i="4" s="1"/>
  <c r="G91" i="4" a="1"/>
  <c r="G91" i="4" s="1"/>
  <c r="AA91" i="4" s="1" a="1"/>
  <c r="AA91" i="4" s="1"/>
  <c r="G83" i="4" a="1"/>
  <c r="G83" i="4" s="1"/>
  <c r="AA83" i="4" s="1" a="1"/>
  <c r="AA83" i="4" s="1"/>
  <c r="G75" i="4" a="1"/>
  <c r="G75" i="4" s="1"/>
  <c r="AA75" i="4" s="1" a="1"/>
  <c r="AA75" i="4" s="1"/>
  <c r="G22" i="4" a="1"/>
  <c r="G22" i="4" s="1"/>
  <c r="AA22" i="4" s="1" a="1"/>
  <c r="AA22" i="4" s="1"/>
  <c r="G122" i="4" a="1"/>
  <c r="G122" i="4" s="1"/>
  <c r="AA122" i="4" s="1" a="1"/>
  <c r="AA122" i="4" s="1"/>
  <c r="G70" i="4" a="1"/>
  <c r="G70" i="4" s="1"/>
  <c r="AA70" i="4" s="1" a="1"/>
  <c r="AA70" i="4" s="1"/>
  <c r="G44" i="4" a="1"/>
  <c r="G44" i="4" s="1"/>
  <c r="AA44" i="4" s="1" a="1"/>
  <c r="AA44" i="4" s="1"/>
  <c r="G34" i="4" a="1"/>
  <c r="G34" i="4" s="1"/>
  <c r="AA34" i="4" s="1" a="1"/>
  <c r="AA34" i="4" s="1"/>
  <c r="G111" i="4" a="1"/>
  <c r="G111" i="4" s="1"/>
  <c r="AA111" i="4" s="1" a="1"/>
  <c r="AA111" i="4" s="1"/>
  <c r="G95" i="4" a="1"/>
  <c r="G95" i="4" s="1"/>
  <c r="AA95" i="4" s="1" a="1"/>
  <c r="AA95" i="4" s="1"/>
  <c r="G86" i="4" a="1"/>
  <c r="G86" i="4" s="1"/>
  <c r="AA86" i="4" s="1" a="1"/>
  <c r="AA86" i="4" s="1"/>
  <c r="G78" i="4" a="1"/>
  <c r="G78" i="4" s="1"/>
  <c r="AA78" i="4" s="1" a="1"/>
  <c r="AA78" i="4" s="1"/>
  <c r="G61" i="4" a="1"/>
  <c r="G61" i="4" s="1"/>
  <c r="AA61" i="4" s="1" a="1"/>
  <c r="AA61" i="4" s="1"/>
  <c r="G39" i="4" a="1"/>
  <c r="G39" i="4" s="1"/>
  <c r="AA39" i="4" s="1" a="1"/>
  <c r="AA39" i="4" s="1"/>
  <c r="G19" i="4" a="1"/>
  <c r="G19" i="4" s="1"/>
  <c r="AA19" i="4" s="1" a="1"/>
  <c r="AA19" i="4" s="1"/>
  <c r="G131" i="4" a="1"/>
  <c r="G131" i="4" s="1"/>
  <c r="AA131" i="4" s="1" a="1"/>
  <c r="AA131" i="4" s="1"/>
  <c r="G50" i="4" a="1"/>
  <c r="G50" i="4" s="1"/>
  <c r="AA50" i="4" s="1" a="1"/>
  <c r="AA50" i="4" s="1"/>
  <c r="G4" i="4" a="1"/>
  <c r="G4" i="4" s="1"/>
  <c r="AA4" i="4" s="1" a="1"/>
  <c r="AA4" i="4" s="1"/>
  <c r="F2" i="4"/>
  <c r="G2" i="4" s="1" a="1"/>
  <c r="G2" i="4" s="1"/>
  <c r="AA2" i="4" s="1" a="1"/>
  <c r="AA2" i="4" s="1"/>
  <c r="G53" i="4" a="1"/>
  <c r="G53" i="4" s="1"/>
  <c r="AA53" i="4" s="1" a="1"/>
  <c r="AA53" i="4" s="1"/>
  <c r="G46" i="4" a="1"/>
  <c r="G46" i="4" s="1"/>
  <c r="AA46" i="4" s="1" a="1"/>
  <c r="AA46" i="4" s="1"/>
  <c r="G36" i="4" a="1"/>
  <c r="G36" i="4" s="1"/>
  <c r="AA36" i="4" s="1" a="1"/>
  <c r="AA36" i="4" s="1"/>
  <c r="G26" i="4" a="1"/>
  <c r="G26" i="4" s="1"/>
  <c r="AA26" i="4" s="1" a="1"/>
  <c r="AA26" i="4" s="1"/>
  <c r="G16" i="4" a="1"/>
  <c r="G16" i="4" s="1"/>
  <c r="AA16" i="4" s="1" a="1"/>
  <c r="AA16" i="4" s="1"/>
  <c r="G10" i="4" a="1"/>
  <c r="G10" i="4" s="1"/>
  <c r="AA10" i="4" s="1" a="1"/>
  <c r="AA10" i="4" s="1"/>
  <c r="G32" i="4" a="1"/>
  <c r="G32" i="4" s="1"/>
  <c r="AA32" i="4" s="1" a="1"/>
  <c r="AA32" i="4" s="1"/>
  <c r="G29" i="4" a="1"/>
  <c r="G29" i="4" s="1"/>
  <c r="AA29" i="4" s="1" a="1"/>
  <c r="AA29" i="4" s="1"/>
  <c r="G182" i="3" a="1"/>
  <c r="G182" i="3" s="1"/>
  <c r="AA182" i="3" s="1" a="1"/>
  <c r="AA182" i="3" s="1"/>
  <c r="G178" i="3" a="1"/>
  <c r="G178" i="3" s="1"/>
  <c r="AA178" i="3" s="1" a="1"/>
  <c r="AA178" i="3" s="1"/>
  <c r="G168" i="3" a="1"/>
  <c r="G168" i="3" s="1"/>
  <c r="AA168" i="3" s="1" a="1"/>
  <c r="AA168" i="3" s="1"/>
  <c r="G158" i="3" a="1"/>
  <c r="G158" i="3" s="1"/>
  <c r="AA158" i="3" s="1" a="1"/>
  <c r="AA158" i="3" s="1"/>
  <c r="G148" i="3" a="1"/>
  <c r="G148" i="3" s="1"/>
  <c r="AA148" i="3" s="1" a="1"/>
  <c r="AA148" i="3" s="1"/>
  <c r="G138" i="3" a="1"/>
  <c r="G138" i="3" s="1"/>
  <c r="AA138" i="3" s="1" a="1"/>
  <c r="AA138" i="3" s="1"/>
  <c r="G131" i="3" a="1"/>
  <c r="G131" i="3" s="1"/>
  <c r="AA131" i="3" s="1" a="1"/>
  <c r="AA131" i="3" s="1"/>
  <c r="G120" i="3" a="1"/>
  <c r="G120" i="3" s="1"/>
  <c r="AA120" i="3" s="1" a="1"/>
  <c r="AA120" i="3" s="1"/>
  <c r="G111" i="3" a="1"/>
  <c r="G111" i="3" s="1"/>
  <c r="AA111" i="3" s="1" a="1"/>
  <c r="AA111" i="3" s="1"/>
  <c r="G100" i="3" a="1"/>
  <c r="G100" i="3" s="1"/>
  <c r="AA100" i="3" s="1" a="1"/>
  <c r="AA100" i="3" s="1"/>
  <c r="G91" i="3" a="1"/>
  <c r="G91" i="3" s="1"/>
  <c r="AA91" i="3" s="1" a="1"/>
  <c r="AA91" i="3" s="1"/>
  <c r="G80" i="3" a="1"/>
  <c r="G80" i="3" s="1"/>
  <c r="AA80" i="3" s="1" a="1"/>
  <c r="AA80" i="3" s="1"/>
  <c r="G71" i="3" a="1"/>
  <c r="G71" i="3" s="1"/>
  <c r="AA71" i="3" s="1" a="1"/>
  <c r="AA71" i="3" s="1"/>
  <c r="G60" i="3" a="1"/>
  <c r="G60" i="3" s="1"/>
  <c r="AA60" i="3" s="1" a="1"/>
  <c r="AA60" i="3" s="1"/>
  <c r="G51" i="3" a="1"/>
  <c r="G51" i="3" s="1"/>
  <c r="AA51" i="3" s="1" a="1"/>
  <c r="AA51" i="3" s="1"/>
  <c r="G40" i="3" a="1"/>
  <c r="G40" i="3" s="1"/>
  <c r="AA40" i="3" s="1" a="1"/>
  <c r="AA40" i="3" s="1"/>
  <c r="G38" i="3" a="1"/>
  <c r="G38" i="3" s="1"/>
  <c r="AA38" i="3" s="1" a="1"/>
  <c r="AA38" i="3" s="1"/>
  <c r="G175" i="3" a="1"/>
  <c r="G175" i="3" s="1"/>
  <c r="AA175" i="3" s="1" a="1"/>
  <c r="AA175" i="3" s="1"/>
  <c r="G165" i="3" a="1"/>
  <c r="G165" i="3" s="1"/>
  <c r="AA165" i="3" s="1" a="1"/>
  <c r="AA165" i="3" s="1"/>
  <c r="G155" i="3" a="1"/>
  <c r="G155" i="3" s="1"/>
  <c r="AA155" i="3" s="1" a="1"/>
  <c r="AA155" i="3" s="1"/>
  <c r="G145" i="3" a="1"/>
  <c r="G145" i="3" s="1"/>
  <c r="AA145" i="3" s="1" a="1"/>
  <c r="AA145" i="3" s="1"/>
  <c r="G133" i="3" a="1"/>
  <c r="G133" i="3" s="1"/>
  <c r="AA133" i="3" s="1" a="1"/>
  <c r="AA133" i="3" s="1"/>
  <c r="G122" i="3" a="1"/>
  <c r="G122" i="3" s="1"/>
  <c r="AA122" i="3" s="1" a="1"/>
  <c r="AA122" i="3" s="1"/>
  <c r="G113" i="3" a="1"/>
  <c r="G113" i="3" s="1"/>
  <c r="AA113" i="3" s="1" a="1"/>
  <c r="AA113" i="3" s="1"/>
  <c r="G102" i="3" a="1"/>
  <c r="G102" i="3" s="1"/>
  <c r="AA102" i="3" s="1" a="1"/>
  <c r="AA102" i="3" s="1"/>
  <c r="G93" i="3" a="1"/>
  <c r="G93" i="3" s="1"/>
  <c r="AA93" i="3" s="1" a="1"/>
  <c r="AA93" i="3" s="1"/>
  <c r="G82" i="3" a="1"/>
  <c r="G82" i="3" s="1"/>
  <c r="AA82" i="3" s="1" a="1"/>
  <c r="AA82" i="3" s="1"/>
  <c r="G73" i="3" a="1"/>
  <c r="G73" i="3" s="1"/>
  <c r="AA73" i="3" s="1" a="1"/>
  <c r="AA73" i="3" s="1"/>
  <c r="G62" i="3" a="1"/>
  <c r="G62" i="3" s="1"/>
  <c r="AA62" i="3" s="1" a="1"/>
  <c r="AA62" i="3" s="1"/>
  <c r="G53" i="3" a="1"/>
  <c r="G53" i="3" s="1"/>
  <c r="AA53" i="3" s="1" a="1"/>
  <c r="AA53" i="3" s="1"/>
  <c r="G42" i="3" a="1"/>
  <c r="G42" i="3" s="1"/>
  <c r="AA42" i="3" s="1" a="1"/>
  <c r="AA42" i="3" s="1"/>
  <c r="G180" i="3" a="1"/>
  <c r="G180" i="3" s="1"/>
  <c r="AA180" i="3" s="1" a="1"/>
  <c r="AA180" i="3" s="1"/>
  <c r="G170" i="3" a="1"/>
  <c r="G170" i="3" s="1"/>
  <c r="AA170" i="3" s="1" a="1"/>
  <c r="AA170" i="3" s="1"/>
  <c r="G160" i="3" a="1"/>
  <c r="G160" i="3" s="1"/>
  <c r="AA160" i="3" s="1" a="1"/>
  <c r="AA160" i="3" s="1"/>
  <c r="G150" i="3" a="1"/>
  <c r="G150" i="3" s="1"/>
  <c r="AA150" i="3" s="1" a="1"/>
  <c r="AA150" i="3" s="1"/>
  <c r="G140" i="3" a="1"/>
  <c r="G140" i="3" s="1"/>
  <c r="AA140" i="3" s="1" a="1"/>
  <c r="AA140" i="3" s="1"/>
  <c r="G135" i="3" a="1"/>
  <c r="G135" i="3" s="1"/>
  <c r="AA135" i="3" s="1" a="1"/>
  <c r="AA135" i="3" s="1"/>
  <c r="G124" i="3" a="1"/>
  <c r="G124" i="3" s="1"/>
  <c r="AA124" i="3" s="1" a="1"/>
  <c r="AA124" i="3" s="1"/>
  <c r="G115" i="3" a="1"/>
  <c r="G115" i="3" s="1"/>
  <c r="AA115" i="3" s="1" a="1"/>
  <c r="AA115" i="3" s="1"/>
  <c r="G104" i="3" a="1"/>
  <c r="G104" i="3" s="1"/>
  <c r="AA104" i="3" s="1" a="1"/>
  <c r="AA104" i="3" s="1"/>
  <c r="G95" i="3" a="1"/>
  <c r="G95" i="3" s="1"/>
  <c r="AA95" i="3" s="1" a="1"/>
  <c r="AA95" i="3" s="1"/>
  <c r="G84" i="3" a="1"/>
  <c r="G84" i="3" s="1"/>
  <c r="AA84" i="3" s="1" a="1"/>
  <c r="AA84" i="3" s="1"/>
  <c r="G75" i="3" a="1"/>
  <c r="G75" i="3" s="1"/>
  <c r="AA75" i="3" s="1" a="1"/>
  <c r="AA75" i="3" s="1"/>
  <c r="G64" i="3" a="1"/>
  <c r="G64" i="3" s="1"/>
  <c r="AA64" i="3" s="1" a="1"/>
  <c r="AA64" i="3" s="1"/>
  <c r="G55" i="3" a="1"/>
  <c r="G55" i="3" s="1"/>
  <c r="AA55" i="3" s="1" a="1"/>
  <c r="AA55" i="3" s="1"/>
  <c r="G44" i="3" a="1"/>
  <c r="G44" i="3" s="1"/>
  <c r="AA44" i="3" s="1" a="1"/>
  <c r="AA44" i="3" s="1"/>
  <c r="G177" i="3" a="1"/>
  <c r="G177" i="3" s="1"/>
  <c r="AA177" i="3" s="1" a="1"/>
  <c r="AA177" i="3" s="1"/>
  <c r="G167" i="3" a="1"/>
  <c r="G167" i="3" s="1"/>
  <c r="AA167" i="3" s="1" a="1"/>
  <c r="AA167" i="3" s="1"/>
  <c r="G157" i="3" a="1"/>
  <c r="G157" i="3" s="1"/>
  <c r="AA157" i="3" s="1" a="1"/>
  <c r="AA157" i="3" s="1"/>
  <c r="G147" i="3" a="1"/>
  <c r="G147" i="3" s="1"/>
  <c r="AA147" i="3" s="1" a="1"/>
  <c r="AA147" i="3" s="1"/>
  <c r="G172" i="3" a="1"/>
  <c r="G172" i="3" s="1"/>
  <c r="AA172" i="3" s="1" a="1"/>
  <c r="AA172" i="3" s="1"/>
  <c r="G162" i="3" a="1"/>
  <c r="G162" i="3" s="1"/>
  <c r="AA162" i="3" s="1" a="1"/>
  <c r="AA162" i="3" s="1"/>
  <c r="G152" i="3" a="1"/>
  <c r="G152" i="3" s="1"/>
  <c r="AA152" i="3" s="1" a="1"/>
  <c r="AA152" i="3" s="1"/>
  <c r="G142" i="3" a="1"/>
  <c r="G142" i="3" s="1"/>
  <c r="AA142" i="3" s="1" a="1"/>
  <c r="AA142" i="3" s="1"/>
  <c r="G179" i="3" a="1"/>
  <c r="G179" i="3" s="1"/>
  <c r="AA179" i="3" s="1" a="1"/>
  <c r="AA179" i="3" s="1"/>
  <c r="G169" i="3" a="1"/>
  <c r="G169" i="3" s="1"/>
  <c r="AA169" i="3" s="1" a="1"/>
  <c r="AA169" i="3" s="1"/>
  <c r="G159" i="3" a="1"/>
  <c r="G159" i="3" s="1"/>
  <c r="AA159" i="3" s="1" a="1"/>
  <c r="AA159" i="3" s="1"/>
  <c r="G149" i="3" a="1"/>
  <c r="G149" i="3" s="1"/>
  <c r="AA149" i="3" s="1" a="1"/>
  <c r="AA149" i="3" s="1"/>
  <c r="G139" i="3" a="1"/>
  <c r="G139" i="3" s="1"/>
  <c r="AA139" i="3" s="1" a="1"/>
  <c r="AA139" i="3" s="1"/>
  <c r="G174" i="3" a="1"/>
  <c r="G174" i="3" s="1"/>
  <c r="AA174" i="3" s="1" a="1"/>
  <c r="AA174" i="3" s="1"/>
  <c r="G164" i="3" a="1"/>
  <c r="G164" i="3" s="1"/>
  <c r="AA164" i="3" s="1" a="1"/>
  <c r="AA164" i="3" s="1"/>
  <c r="G154" i="3" a="1"/>
  <c r="G154" i="3" s="1"/>
  <c r="AA154" i="3" s="1" a="1"/>
  <c r="AA154" i="3" s="1"/>
  <c r="G144" i="3" a="1"/>
  <c r="G144" i="3" s="1"/>
  <c r="AA144" i="3" s="1" a="1"/>
  <c r="AA144" i="3" s="1"/>
  <c r="G132" i="3" a="1"/>
  <c r="G132" i="3" s="1"/>
  <c r="AA132" i="3" s="1" a="1"/>
  <c r="AA132" i="3" s="1"/>
  <c r="G181" i="3" a="1"/>
  <c r="G181" i="3" s="1"/>
  <c r="AA181" i="3" s="1" a="1"/>
  <c r="AA181" i="3" s="1"/>
  <c r="G171" i="3" a="1"/>
  <c r="G171" i="3" s="1"/>
  <c r="AA171" i="3" s="1" a="1"/>
  <c r="AA171" i="3" s="1"/>
  <c r="G161" i="3" a="1"/>
  <c r="G161" i="3" s="1"/>
  <c r="AA161" i="3" s="1" a="1"/>
  <c r="AA161" i="3" s="1"/>
  <c r="G151" i="3" a="1"/>
  <c r="G151" i="3" s="1"/>
  <c r="AA151" i="3" s="1" a="1"/>
  <c r="AA151" i="3" s="1"/>
  <c r="G176" i="3" a="1"/>
  <c r="G176" i="3" s="1"/>
  <c r="AA176" i="3" s="1" a="1"/>
  <c r="AA176" i="3" s="1"/>
  <c r="G166" i="3" a="1"/>
  <c r="G166" i="3" s="1"/>
  <c r="AA166" i="3" s="1" a="1"/>
  <c r="AA166" i="3" s="1"/>
  <c r="G156" i="3" a="1"/>
  <c r="G156" i="3" s="1"/>
  <c r="AA156" i="3" s="1" a="1"/>
  <c r="AA156" i="3" s="1"/>
  <c r="G146" i="3" a="1"/>
  <c r="G146" i="3" s="1"/>
  <c r="AA146" i="3" s="1" a="1"/>
  <c r="AA146" i="3" s="1"/>
  <c r="G136" i="3" a="1"/>
  <c r="G136" i="3" s="1"/>
  <c r="AA136" i="3" s="1" a="1"/>
  <c r="AA136" i="3" s="1"/>
  <c r="G173" i="3" a="1"/>
  <c r="G173" i="3" s="1"/>
  <c r="AA173" i="3" s="1" a="1"/>
  <c r="AA173" i="3" s="1"/>
  <c r="G163" i="3" a="1"/>
  <c r="G163" i="3" s="1"/>
  <c r="AA163" i="3" s="1" a="1"/>
  <c r="AA163" i="3" s="1"/>
  <c r="G153" i="3" a="1"/>
  <c r="G153" i="3" s="1"/>
  <c r="AA153" i="3" s="1" a="1"/>
  <c r="AA153" i="3" s="1"/>
  <c r="G143" i="3" a="1"/>
  <c r="G143" i="3" s="1"/>
  <c r="AA143" i="3" s="1" a="1"/>
  <c r="AA143" i="3" s="1"/>
  <c r="G129" i="3" a="1"/>
  <c r="G129" i="3" s="1"/>
  <c r="AA129" i="3" s="1" a="1"/>
  <c r="AA129" i="3" s="1"/>
  <c r="G118" i="3" a="1"/>
  <c r="G118" i="3" s="1"/>
  <c r="AA118" i="3" s="1" a="1"/>
  <c r="AA118" i="3" s="1"/>
  <c r="G109" i="3" a="1"/>
  <c r="G109" i="3" s="1"/>
  <c r="AA109" i="3" s="1" a="1"/>
  <c r="AA109" i="3" s="1"/>
  <c r="G98" i="3" a="1"/>
  <c r="G98" i="3" s="1"/>
  <c r="AA98" i="3" s="1" a="1"/>
  <c r="AA98" i="3" s="1"/>
  <c r="G89" i="3" a="1"/>
  <c r="G89" i="3" s="1"/>
  <c r="AA89" i="3" s="1" a="1"/>
  <c r="AA89" i="3" s="1"/>
  <c r="G105" i="3" a="1"/>
  <c r="G105" i="3" s="1"/>
  <c r="AA105" i="3" s="1" a="1"/>
  <c r="AA105" i="3" s="1"/>
  <c r="G101" i="3" a="1"/>
  <c r="G101" i="3" s="1"/>
  <c r="AA101" i="3" s="1" a="1"/>
  <c r="AA101" i="3" s="1"/>
  <c r="G97" i="3" a="1"/>
  <c r="G97" i="3" s="1"/>
  <c r="AA97" i="3" s="1" a="1"/>
  <c r="AA97" i="3" s="1"/>
  <c r="G94" i="3" a="1"/>
  <c r="G94" i="3" s="1"/>
  <c r="AA94" i="3" s="1" a="1"/>
  <c r="AA94" i="3" s="1"/>
  <c r="G90" i="3" a="1"/>
  <c r="G90" i="3" s="1"/>
  <c r="AA90" i="3" s="1" a="1"/>
  <c r="AA90" i="3" s="1"/>
  <c r="G74" i="3" a="1"/>
  <c r="G74" i="3" s="1"/>
  <c r="AA74" i="3" s="1" a="1"/>
  <c r="AA74" i="3" s="1"/>
  <c r="G61" i="3" a="1"/>
  <c r="G61" i="3" s="1"/>
  <c r="AA61" i="3" s="1" a="1"/>
  <c r="AA61" i="3" s="1"/>
  <c r="G37" i="3" a="1"/>
  <c r="G37" i="3" s="1"/>
  <c r="AA37" i="3" s="1" a="1"/>
  <c r="AA37" i="3" s="1"/>
  <c r="G26" i="3" a="1"/>
  <c r="G26" i="3" s="1"/>
  <c r="AA26" i="3" s="1" a="1"/>
  <c r="AA26" i="3" s="1"/>
  <c r="G17" i="3" a="1"/>
  <c r="G17" i="3" s="1"/>
  <c r="AA17" i="3" s="1" a="1"/>
  <c r="AA17" i="3" s="1"/>
  <c r="G23" i="3" a="1"/>
  <c r="G23" i="3" s="1"/>
  <c r="AA23" i="3" s="1" a="1"/>
  <c r="AA23" i="3" s="1"/>
  <c r="G47" i="3" a="1"/>
  <c r="G47" i="3" s="1"/>
  <c r="AA47" i="3" s="1" a="1"/>
  <c r="AA47" i="3" s="1"/>
  <c r="G127" i="3" a="1"/>
  <c r="G127" i="3" s="1"/>
  <c r="AA127" i="3" s="1" a="1"/>
  <c r="AA127" i="3" s="1"/>
  <c r="G123" i="3" a="1"/>
  <c r="G123" i="3" s="1"/>
  <c r="AA123" i="3" s="1" a="1"/>
  <c r="AA123" i="3" s="1"/>
  <c r="G119" i="3" a="1"/>
  <c r="G119" i="3" s="1"/>
  <c r="AA119" i="3" s="1" a="1"/>
  <c r="AA119" i="3" s="1"/>
  <c r="G116" i="3" a="1"/>
  <c r="G116" i="3" s="1"/>
  <c r="AA116" i="3" s="1" a="1"/>
  <c r="AA116" i="3" s="1"/>
  <c r="G112" i="3" a="1"/>
  <c r="G112" i="3" s="1"/>
  <c r="AA112" i="3" s="1" a="1"/>
  <c r="AA112" i="3" s="1"/>
  <c r="G108" i="3" a="1"/>
  <c r="G108" i="3" s="1"/>
  <c r="AA108" i="3" s="1" a="1"/>
  <c r="AA108" i="3" s="1"/>
  <c r="G86" i="3" a="1"/>
  <c r="G86" i="3" s="1"/>
  <c r="AA86" i="3" s="1" a="1"/>
  <c r="AA86" i="3" s="1"/>
  <c r="G83" i="3" a="1"/>
  <c r="G83" i="3" s="1"/>
  <c r="AA83" i="3" s="1" a="1"/>
  <c r="AA83" i="3" s="1"/>
  <c r="G58" i="3" a="1"/>
  <c r="G58" i="3" s="1"/>
  <c r="AA58" i="3" s="1" a="1"/>
  <c r="AA58" i="3" s="1"/>
  <c r="G48" i="3" a="1"/>
  <c r="G48" i="3" s="1"/>
  <c r="AA48" i="3" s="1" a="1"/>
  <c r="AA48" i="3" s="1"/>
  <c r="G45" i="3" a="1"/>
  <c r="G45" i="3" s="1"/>
  <c r="AA45" i="3" s="1" a="1"/>
  <c r="AA45" i="3" s="1"/>
  <c r="G19" i="3" a="1"/>
  <c r="G19" i="3" s="1"/>
  <c r="AA19" i="3" s="1" a="1"/>
  <c r="AA19" i="3" s="1"/>
  <c r="G36" i="3" a="1"/>
  <c r="G36" i="3" s="1"/>
  <c r="AA36" i="3" s="1" a="1"/>
  <c r="AA36" i="3" s="1"/>
  <c r="G59" i="3" a="1"/>
  <c r="G59" i="3" s="1"/>
  <c r="AA59" i="3" s="1" a="1"/>
  <c r="AA59" i="3" s="1"/>
  <c r="G141" i="3" a="1"/>
  <c r="G141" i="3" s="1"/>
  <c r="AA141" i="3" s="1" a="1"/>
  <c r="AA141" i="3" s="1"/>
  <c r="G130" i="3" a="1"/>
  <c r="G130" i="3" s="1"/>
  <c r="AA130" i="3" s="1" a="1"/>
  <c r="AA130" i="3" s="1"/>
  <c r="G126" i="3" a="1"/>
  <c r="G126" i="3" s="1"/>
  <c r="AA126" i="3" s="1" a="1"/>
  <c r="AA126" i="3" s="1"/>
  <c r="G70" i="3" a="1"/>
  <c r="G70" i="3" s="1"/>
  <c r="AA70" i="3" s="1" a="1"/>
  <c r="AA70" i="3" s="1"/>
  <c r="G67" i="3" a="1"/>
  <c r="G67" i="3" s="1"/>
  <c r="AA67" i="3" s="1" a="1"/>
  <c r="AA67" i="3" s="1"/>
  <c r="G57" i="3" a="1"/>
  <c r="G57" i="3" s="1"/>
  <c r="AA57" i="3" s="1" a="1"/>
  <c r="AA57" i="3" s="1"/>
  <c r="G39" i="3" a="1"/>
  <c r="G39" i="3" s="1"/>
  <c r="AA39" i="3" s="1" a="1"/>
  <c r="AA39" i="3" s="1"/>
  <c r="G30" i="3" a="1"/>
  <c r="G30" i="3" s="1"/>
  <c r="AA30" i="3" s="1" a="1"/>
  <c r="AA30" i="3" s="1"/>
  <c r="G21" i="3" a="1"/>
  <c r="G21" i="3" s="1"/>
  <c r="AA21" i="3" s="1" a="1"/>
  <c r="AA21" i="3" s="1"/>
  <c r="G25" i="3" a="1"/>
  <c r="G25" i="3" s="1"/>
  <c r="AA25" i="3" s="1" a="1"/>
  <c r="AA25" i="3" s="1"/>
  <c r="G27" i="3" a="1"/>
  <c r="G27" i="3" s="1"/>
  <c r="AA27" i="3" s="1" a="1"/>
  <c r="AA27" i="3" s="1"/>
  <c r="G134" i="3" a="1"/>
  <c r="G134" i="3" s="1"/>
  <c r="AA134" i="3" s="1" a="1"/>
  <c r="AA134" i="3" s="1"/>
  <c r="G79" i="3" a="1"/>
  <c r="G79" i="3" s="1"/>
  <c r="AA79" i="3" s="1" a="1"/>
  <c r="AA79" i="3" s="1"/>
  <c r="G54" i="3" a="1"/>
  <c r="G54" i="3" s="1"/>
  <c r="AA54" i="3" s="1" a="1"/>
  <c r="AA54" i="3" s="1"/>
  <c r="G32" i="3" a="1"/>
  <c r="G32" i="3" s="1"/>
  <c r="AA32" i="3" s="1" a="1"/>
  <c r="AA32" i="3" s="1"/>
  <c r="G76" i="3" a="1"/>
  <c r="G76" i="3" s="1"/>
  <c r="AA76" i="3" s="1" a="1"/>
  <c r="AA76" i="3" s="1"/>
  <c r="G66" i="3" a="1"/>
  <c r="G66" i="3" s="1"/>
  <c r="AA66" i="3" s="1" a="1"/>
  <c r="AA66" i="3" s="1"/>
  <c r="G63" i="3" a="1"/>
  <c r="G63" i="3" s="1"/>
  <c r="AA63" i="3" s="1" a="1"/>
  <c r="AA63" i="3" s="1"/>
  <c r="G41" i="3" a="1"/>
  <c r="G41" i="3" s="1"/>
  <c r="AA41" i="3" s="1" a="1"/>
  <c r="AA41" i="3" s="1"/>
  <c r="G34" i="3" a="1"/>
  <c r="G34" i="3" s="1"/>
  <c r="AA34" i="3" s="1" a="1"/>
  <c r="AA34" i="3" s="1"/>
  <c r="G69" i="3" a="1"/>
  <c r="G69" i="3" s="1"/>
  <c r="AA69" i="3" s="1" a="1"/>
  <c r="AA69" i="3" s="1"/>
  <c r="G107" i="3" a="1"/>
  <c r="G107" i="3" s="1"/>
  <c r="AA107" i="3" s="1" a="1"/>
  <c r="AA107" i="3" s="1"/>
  <c r="G103" i="3" a="1"/>
  <c r="G103" i="3" s="1"/>
  <c r="AA103" i="3" s="1" a="1"/>
  <c r="AA103" i="3" s="1"/>
  <c r="G99" i="3" a="1"/>
  <c r="G99" i="3" s="1"/>
  <c r="AA99" i="3" s="1" a="1"/>
  <c r="AA99" i="3" s="1"/>
  <c r="G96" i="3" a="1"/>
  <c r="G96" i="3" s="1"/>
  <c r="AA96" i="3" s="1" a="1"/>
  <c r="AA96" i="3" s="1"/>
  <c r="G92" i="3" a="1"/>
  <c r="G92" i="3" s="1"/>
  <c r="AA92" i="3" s="1" a="1"/>
  <c r="AA92" i="3" s="1"/>
  <c r="G88" i="3" a="1"/>
  <c r="G88" i="3" s="1"/>
  <c r="AA88" i="3" s="1" a="1"/>
  <c r="AA88" i="3" s="1"/>
  <c r="G85" i="3" a="1"/>
  <c r="G85" i="3" s="1"/>
  <c r="AA85" i="3" s="1" a="1"/>
  <c r="AA85" i="3" s="1"/>
  <c r="G50" i="3" a="1"/>
  <c r="G50" i="3" s="1"/>
  <c r="AA50" i="3" s="1" a="1"/>
  <c r="AA50" i="3" s="1"/>
  <c r="G18" i="3" a="1"/>
  <c r="G18" i="3" s="1"/>
  <c r="AA18" i="3" s="1" a="1"/>
  <c r="AA18" i="3" s="1"/>
  <c r="G137" i="3" a="1"/>
  <c r="G137" i="3" s="1"/>
  <c r="AA137" i="3" s="1" a="1"/>
  <c r="AA137" i="3" s="1"/>
  <c r="G125" i="3" a="1"/>
  <c r="G125" i="3" s="1"/>
  <c r="AA125" i="3" s="1" a="1"/>
  <c r="AA125" i="3" s="1"/>
  <c r="G121" i="3" a="1"/>
  <c r="G121" i="3" s="1"/>
  <c r="AA121" i="3" s="1" a="1"/>
  <c r="AA121" i="3" s="1"/>
  <c r="G117" i="3" a="1"/>
  <c r="G117" i="3" s="1"/>
  <c r="AA117" i="3" s="1" a="1"/>
  <c r="AA117" i="3" s="1"/>
  <c r="G114" i="3" a="1"/>
  <c r="G114" i="3" s="1"/>
  <c r="AA114" i="3" s="1" a="1"/>
  <c r="AA114" i="3" s="1"/>
  <c r="G110" i="3" a="1"/>
  <c r="G110" i="3" s="1"/>
  <c r="AA110" i="3" s="1" a="1"/>
  <c r="AA110" i="3" s="1"/>
  <c r="G106" i="3" a="1"/>
  <c r="G106" i="3" s="1"/>
  <c r="AA106" i="3" s="1" a="1"/>
  <c r="AA106" i="3" s="1"/>
  <c r="G72" i="3" a="1"/>
  <c r="G72" i="3" s="1"/>
  <c r="AA72" i="3" s="1" a="1"/>
  <c r="AA72" i="3" s="1"/>
  <c r="G29" i="3" a="1"/>
  <c r="G29" i="3" s="1"/>
  <c r="AA29" i="3" s="1" a="1"/>
  <c r="AA29" i="3" s="1"/>
  <c r="G128" i="3" a="1"/>
  <c r="G128" i="3" s="1"/>
  <c r="AA128" i="3" s="1" a="1"/>
  <c r="AA128" i="3" s="1"/>
  <c r="G81" i="3" a="1"/>
  <c r="G81" i="3" s="1"/>
  <c r="AA81" i="3" s="1" a="1"/>
  <c r="AA81" i="3" s="1"/>
  <c r="G56" i="3" a="1"/>
  <c r="G56" i="3" s="1"/>
  <c r="AA56" i="3" s="1" a="1"/>
  <c r="AA56" i="3" s="1"/>
  <c r="G46" i="3" a="1"/>
  <c r="G46" i="3" s="1"/>
  <c r="AA46" i="3" s="1" a="1"/>
  <c r="AA46" i="3" s="1"/>
  <c r="G43" i="3" a="1"/>
  <c r="G43" i="3" s="1"/>
  <c r="AA43" i="3" s="1" a="1"/>
  <c r="AA43" i="3" s="1"/>
  <c r="G31" i="3" a="1"/>
  <c r="G31" i="3" s="1"/>
  <c r="AA31" i="3" s="1" a="1"/>
  <c r="AA31" i="3" s="1"/>
  <c r="G20" i="3" a="1"/>
  <c r="G20" i="3" s="1"/>
  <c r="AA20" i="3" s="1" a="1"/>
  <c r="AA20" i="3" s="1"/>
  <c r="G78" i="3" a="1"/>
  <c r="G78" i="3" s="1"/>
  <c r="AA78" i="3" s="1" a="1"/>
  <c r="AA78" i="3" s="1"/>
  <c r="G68" i="3" a="1"/>
  <c r="G68" i="3" s="1"/>
  <c r="AA68" i="3" s="1" a="1"/>
  <c r="AA68" i="3" s="1"/>
  <c r="G65" i="3" a="1"/>
  <c r="G65" i="3" s="1"/>
  <c r="AA65" i="3" s="1" a="1"/>
  <c r="AA65" i="3" s="1"/>
  <c r="G33" i="3" a="1"/>
  <c r="G33" i="3" s="1"/>
  <c r="AA33" i="3" s="1" a="1"/>
  <c r="AA33" i="3" s="1"/>
  <c r="G22" i="3" a="1"/>
  <c r="G22" i="3" s="1"/>
  <c r="AA22" i="3" s="1" a="1"/>
  <c r="AA22" i="3" s="1"/>
  <c r="G13" i="3" a="1"/>
  <c r="G13" i="3" s="1"/>
  <c r="AA13" i="3" s="1" a="1"/>
  <c r="AA13" i="3" s="1"/>
  <c r="G87" i="3" a="1"/>
  <c r="G87" i="3" s="1"/>
  <c r="AA87" i="3" s="1" a="1"/>
  <c r="AA87" i="3" s="1"/>
  <c r="G77" i="3" a="1"/>
  <c r="G77" i="3" s="1"/>
  <c r="AA77" i="3" s="1" a="1"/>
  <c r="AA77" i="3" s="1"/>
  <c r="G52" i="3" a="1"/>
  <c r="G52" i="3" s="1"/>
  <c r="AA52" i="3" s="1" a="1"/>
  <c r="AA52" i="3" s="1"/>
  <c r="G49" i="3" a="1"/>
  <c r="G49" i="3" s="1"/>
  <c r="AA49" i="3" s="1" a="1"/>
  <c r="AA49" i="3" s="1"/>
  <c r="G35" i="3" a="1"/>
  <c r="G35" i="3" s="1"/>
  <c r="AA35" i="3" s="1" a="1"/>
  <c r="AA35" i="3" s="1"/>
  <c r="G24" i="3" a="1"/>
  <c r="G24" i="3" s="1"/>
  <c r="AA24" i="3" s="1" a="1"/>
  <c r="AA24" i="3" s="1"/>
  <c r="G15" i="3" a="1"/>
  <c r="G15" i="3" s="1"/>
  <c r="AA15" i="3" s="1" a="1"/>
  <c r="AA15" i="3" s="1"/>
  <c r="G28" i="3" a="1"/>
  <c r="G28" i="3" s="1"/>
  <c r="AA28" i="3" s="1" a="1"/>
  <c r="AA28" i="3" s="1"/>
  <c r="G14" i="3" a="1"/>
  <c r="G14" i="3" s="1"/>
  <c r="AA14" i="3" s="1" a="1"/>
  <c r="AA14" i="3" s="1"/>
  <c r="G16" i="3" a="1"/>
  <c r="G16" i="3" s="1"/>
  <c r="AA16" i="3" s="1" a="1"/>
  <c r="AA16" i="3" s="1"/>
  <c r="AB185" i="5" l="1"/>
  <c r="AB185" i="1"/>
  <c r="AZ2" i="3"/>
  <c r="AZ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<sst xmlns="http://schemas.openxmlformats.org/spreadsheetml/2006/main" count="20" uniqueCount="4">
  <si>
    <t>Price</t>
  </si>
  <si>
    <t>Date</t>
  </si>
  <si>
    <t>Tier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</si>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</sst>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212121"/>
      <name val="Helvetica Neue"/>
      <family val="2"/>
    </font>
    <font>
      <sz val="12"/>
      <color rgb="FF21212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245</v>
    <v>8</v>
    <v>0</v>
    <v>1</v>
  </rv>
  <rv s="1">
    <v>8</v>
    <v>1</v>
  </rv>
  <rv s="0">
    <v>1691</v>
    <v>8</v>
    <v>0</v>
    <v>1</v>
  </rv>
  <rv s="0">
    <v>1690</v>
    <v>8</v>
    <v>0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849D4-0430-DE45-904F-FEE501D83382}">
  <dimension ref="A1:AB321"/>
  <sheetViews>
    <sheetView zoomScale="75" workbookViewId="0">
      <selection activeCell="G14" sqref="G14"/>
    </sheetView>
  </sheetViews>
  <sheetFormatPr baseColWidth="10" defaultRowHeight="16" x14ac:dyDescent="0.2"/>
  <cols>
    <col min="1" max="1" width="13.33203125" customWidth="1"/>
    <col min="3" max="3" width="15" bestFit="1" customWidth="1"/>
    <col min="7" max="7" width="14.6640625" style="3" customWidth="1"/>
    <col min="8" max="8" width="12" style="3" customWidth="1"/>
    <col min="9" max="9" width="14.6640625" style="3" customWidth="1"/>
    <col min="10" max="10" width="14" style="3" customWidth="1"/>
    <col min="11" max="11" width="12.33203125" style="3" customWidth="1"/>
    <col min="12" max="12" width="13" style="3" customWidth="1"/>
    <col min="13" max="14" width="10.83203125" style="3"/>
  </cols>
  <sheetData>
    <row r="1" spans="1:27" x14ac:dyDescent="0.2">
      <c r="A1" t="s">
        <v>1</v>
      </c>
      <c r="B1" t="s">
        <v>0</v>
      </c>
      <c r="C1" t="s">
        <v>2</v>
      </c>
      <c r="E1" s="3"/>
      <c r="F1" t="s">
        <v>2</v>
      </c>
      <c r="G1" s="3" t="s">
        <v>3</v>
      </c>
    </row>
    <row r="2" spans="1:27" x14ac:dyDescent="0.2">
      <c r="A2" s="3">
        <v>46069</v>
      </c>
      <c r="B2" s="1"/>
      <c r="D2" cm="1">
        <f t="array" ref="D2:D186">_xlfn._xlws.SORT(_xlfn.UNIQUE((B2:B391)))</f>
        <v>498.72</v>
      </c>
      <c r="E2" s="3"/>
      <c r="F2" cm="1">
        <f t="array" ref="F2:F187">_xlfn._xlws.SORT(_xlfn.UNIQUE(C2:C2000))</f>
        <v>1</v>
      </c>
      <c r="G2" s="3" cm="1">
        <f t="array" ref="G2">TRANSPOSE(_xlfn._xlws.FILTER($A$2:$A$2000, $C$2:$C$2000=F2))</f>
        <v>46252</v>
      </c>
      <c r="AA2" t="str" cm="1">
        <f t="array" ref="AA2">_xlfn.LET(_xlpm.dates, _xlfn._xlws.FILTER(G2:Z2, G2:Z2&lt;&gt;""),_xlpm.sorted,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"&amp;F2&amp;""": ["&amp;_xlpm.result&amp;"]")</f>
        <v>"Tier 1": [{"start": "2026-08-18", "end": "2026-08-18"}]</v>
      </c>
    </row>
    <row r="3" spans="1:27" x14ac:dyDescent="0.2">
      <c r="A3" s="3">
        <v>46070</v>
      </c>
      <c r="B3" s="1"/>
      <c r="D3">
        <v>500.96</v>
      </c>
      <c r="E3" s="3"/>
      <c r="F3">
        <v>2</v>
      </c>
      <c r="G3" s="3" cm="1">
        <f t="array" ref="G3">TRANSPOSE(_xlfn._xlws.FILTER($A$2:$A$2000, $C$2:$C$2000=F3))</f>
        <v>46273</v>
      </c>
      <c r="AA3" t="str" cm="1">
        <f t="array" ref="AA3">_xlfn.LET(_xlpm.dates, _xlfn._xlws.FILTER(G3:Z3, G3:Z3&lt;&gt;""),_xlpm.sorted,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"&amp;F3&amp;""": ["&amp;_xlpm.result&amp;"]")</f>
        <v>"Tier 2": [{"start": "2026-09-08", "end": "2026-09-08"}]</v>
      </c>
    </row>
    <row r="4" spans="1:27" x14ac:dyDescent="0.2">
      <c r="A4" s="3">
        <v>46071</v>
      </c>
      <c r="B4" s="1"/>
      <c r="D4">
        <v>505.46</v>
      </c>
      <c r="E4" s="3"/>
      <c r="F4">
        <v>3</v>
      </c>
      <c r="G4" s="3" cm="1">
        <f t="array" ref="G4">TRANSPOSE(_xlfn._xlws.FILTER($A$2:$A$2000, $C$2:$C$2000=F4))</f>
        <v>46254</v>
      </c>
      <c r="AA4" t="str" cm="1">
        <f t="array" ref="AA4">_xlfn.LET(_xlpm.dates, _xlfn._xlws.FILTER(G4:Z4, G4:Z4&lt;&gt;""),_xlpm.sorted,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"&amp;F4&amp;""": ["&amp;_xlpm.result&amp;"]")</f>
        <v>"Tier 3": [{"start": "2026-08-20", "end": "2026-08-20"}]</v>
      </c>
    </row>
    <row r="5" spans="1:27" x14ac:dyDescent="0.2">
      <c r="A5" s="3">
        <v>46072</v>
      </c>
      <c r="B5" s="1"/>
      <c r="D5">
        <v>506.55</v>
      </c>
      <c r="E5" s="3"/>
      <c r="F5">
        <v>4</v>
      </c>
      <c r="G5" s="3" cm="1">
        <f t="array" ref="G5">TRANSPOSE(_xlfn._xlws.FILTER($A$2:$A$2000, $C$2:$C$2000=F5))</f>
        <v>46251</v>
      </c>
      <c r="AA5" t="str" cm="1">
        <f t="array" ref="AA5">_xlfn.LET(_xlpm.dates, _xlfn._xlws.FILTER(G5:Z5, G5:Z5&lt;&gt;""),_xlpm.sorted,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"&amp;F5&amp;""": ["&amp;_xlpm.result&amp;"]")</f>
        <v>"Tier 4": [{"start": "2026-08-17", "end": "2026-08-17"}]</v>
      </c>
    </row>
    <row r="6" spans="1:27" x14ac:dyDescent="0.2">
      <c r="A6" s="3">
        <v>46073</v>
      </c>
      <c r="B6" s="1"/>
      <c r="D6">
        <v>509.2</v>
      </c>
      <c r="E6" s="3"/>
      <c r="F6">
        <v>5</v>
      </c>
      <c r="G6" s="3" cm="1">
        <f t="array" ref="G6">TRANSPOSE(_xlfn._xlws.FILTER($A$2:$A$2000, $C$2:$C$2000=F6))</f>
        <v>46274</v>
      </c>
      <c r="AA6" t="str" cm="1">
        <f t="array" ref="AA6">_xlfn.LET(_xlpm.dates, _xlfn._xlws.FILTER(G6:Z6, G6:Z6&lt;&gt;""),_xlpm.sorted,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"&amp;F6&amp;""": ["&amp;_xlpm.result&amp;"]")</f>
        <v>"Tier 5": [{"start": "2026-09-09", "end": "2026-09-09"}]</v>
      </c>
    </row>
    <row r="7" spans="1:27" x14ac:dyDescent="0.2">
      <c r="A7" s="3">
        <v>46074</v>
      </c>
      <c r="B7" s="1"/>
      <c r="D7">
        <v>510.68</v>
      </c>
      <c r="E7" s="3"/>
      <c r="F7">
        <v>6</v>
      </c>
      <c r="G7" s="3" cm="1">
        <f t="array" ref="G7:H7">TRANSPOSE(_xlfn._xlws.FILTER($A$2:$A$2000, $C$2:$C$2000=F7))</f>
        <v>46253</v>
      </c>
      <c r="H7" s="3">
        <v>46255</v>
      </c>
      <c r="AA7" t="str" cm="1">
        <f t="array" ref="AA7">_xlfn.LET(_xlpm.dates, _xlfn._xlws.FILTER(G7:Z7, G7:Z7&lt;&gt;""),_xlpm.sorted,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"&amp;F7&amp;""": ["&amp;_xlpm.result&amp;"]")</f>
        <v>"Tier 6": [{"start": "2026-08-19", "end": "2026-08-19"},{"start": "2026-08-21", "end": "2026-08-21"}]</v>
      </c>
    </row>
    <row r="8" spans="1:27" x14ac:dyDescent="0.2">
      <c r="A8" s="3">
        <v>46075</v>
      </c>
      <c r="B8" s="1"/>
      <c r="D8">
        <v>514.07000000000005</v>
      </c>
      <c r="E8" s="3"/>
      <c r="F8">
        <v>7</v>
      </c>
      <c r="G8" s="3" cm="1">
        <f t="array" ref="G8">TRANSPOSE(_xlfn._xlws.FILTER($A$2:$A$2000, $C$2:$C$2000=F8))</f>
        <v>46272</v>
      </c>
      <c r="AA8" t="str" cm="1">
        <f t="array" ref="AA8">_xlfn.LET(_xlpm.dates, _xlfn._xlws.FILTER(G8:Z8, G8:Z8&lt;&gt;""),_xlpm.sorted,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"&amp;F8&amp;""": ["&amp;_xlpm.result&amp;"]")</f>
        <v>"Tier 7": [{"start": "2026-09-07", "end": "2026-09-07"}]</v>
      </c>
    </row>
    <row r="9" spans="1:27" x14ac:dyDescent="0.2">
      <c r="A9" s="3">
        <v>46076</v>
      </c>
      <c r="B9" s="1"/>
      <c r="D9">
        <v>515.54999999999995</v>
      </c>
      <c r="E9" s="3"/>
      <c r="F9">
        <v>8</v>
      </c>
      <c r="G9" s="3" cm="1">
        <f t="array" ref="G9">TRANSPOSE(_xlfn._xlws.FILTER($A$2:$A$2000, $C$2:$C$2000=F9))</f>
        <v>46278</v>
      </c>
      <c r="AA9" t="str" cm="1">
        <f t="array" ref="AA9">_xlfn.LET(_xlpm.dates, _xlfn._xlws.FILTER(G9:Z9, G9:Z9&lt;&gt;""),_xlpm.sorted,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"&amp;F9&amp;""": ["&amp;_xlpm.result&amp;"]")</f>
        <v>"Tier 8": [{"start": "2026-09-13", "end": "2026-09-13"}]</v>
      </c>
    </row>
    <row r="10" spans="1:27" x14ac:dyDescent="0.2">
      <c r="A10" s="3">
        <v>46077</v>
      </c>
      <c r="B10" s="1"/>
      <c r="D10">
        <v>515.95000000000005</v>
      </c>
      <c r="E10" s="3"/>
      <c r="F10">
        <v>9</v>
      </c>
      <c r="G10" s="3" cm="1">
        <f t="array" ref="G10">TRANSPOSE(_xlfn._xlws.FILTER($A$2:$A$2000, $C$2:$C$2000=F10))</f>
        <v>46275</v>
      </c>
      <c r="AA10" t="str" cm="1">
        <f t="array" ref="AA10">_xlfn.LET(_xlpm.dates, _xlfn._xlws.FILTER(G10:Z10, G10:Z10&lt;&gt;""),_xlpm.sorted,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"&amp;F10&amp;""": ["&amp;_xlpm.result&amp;"]")</f>
        <v>"Tier 9": [{"start": "2026-09-10", "end": "2026-09-10"}]</v>
      </c>
    </row>
    <row r="11" spans="1:27" x14ac:dyDescent="0.2">
      <c r="A11" s="3">
        <v>46078</v>
      </c>
      <c r="B11" s="1"/>
      <c r="D11">
        <v>518.17999999999995</v>
      </c>
      <c r="E11" s="3"/>
      <c r="F11">
        <v>10</v>
      </c>
      <c r="G11" s="3" cm="1">
        <f t="array" ref="G11">TRANSPOSE(_xlfn._xlws.FILTER($A$2:$A$2000, $C$2:$C$2000=F11))</f>
        <v>46279</v>
      </c>
      <c r="AA11" t="str" cm="1">
        <f t="array" ref="AA11">_xlfn.LET(_xlpm.dates, _xlfn._xlws.FILTER(G11:Z11, G11:Z11&lt;&gt;""),_xlpm.sorted,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"&amp;F11&amp;""": ["&amp;_xlpm.result&amp;"]")</f>
        <v>"Tier 10": [{"start": "2026-09-14", "end": "2026-09-14"}]</v>
      </c>
    </row>
    <row r="12" spans="1:27" x14ac:dyDescent="0.2">
      <c r="A12" s="3">
        <v>46079</v>
      </c>
      <c r="D12">
        <v>519.29999999999995</v>
      </c>
      <c r="E12" s="3"/>
      <c r="F12">
        <v>11</v>
      </c>
      <c r="G12" s="3" cm="1">
        <f t="array" ref="G12">TRANSPOSE(_xlfn._xlws.FILTER($A$2:$A$2000, $C$2:$C$2000=F12))</f>
        <v>46277</v>
      </c>
      <c r="AA12" t="str" cm="1">
        <f t="array" ref="AA12">_xlfn.LET(_xlpm.dates, _xlfn._xlws.FILTER(G12:Z12, G12:Z12&lt;&gt;""),_xlpm.sorted,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"&amp;F12&amp;""": ["&amp;_xlpm.result&amp;"]")</f>
        <v>"Tier 11": [{"start": "2026-09-12", "end": "2026-09-12"}]</v>
      </c>
    </row>
    <row r="13" spans="1:27" x14ac:dyDescent="0.2">
      <c r="A13" s="3">
        <v>46080</v>
      </c>
      <c r="B13" s="1">
        <v>691.66</v>
      </c>
      <c r="C13">
        <f t="shared" ref="C3:C66" si="0">MATCH(B13, $D$1:$D$195, 0)-1</f>
        <v>128</v>
      </c>
      <c r="D13">
        <v>520.82000000000005</v>
      </c>
      <c r="E13" s="3"/>
      <c r="F13">
        <v>12</v>
      </c>
      <c r="G13" s="3" cm="1">
        <f t="array" ref="G13">TRANSPOSE(_xlfn._xlws.FILTER($A$2:$A$2000, $C$2:$C$2000=F13))</f>
        <v>46276</v>
      </c>
      <c r="AA13" t="str" cm="1">
        <f t="array" ref="AA13">_xlfn.LET(_xlpm.dates, _xlfn._xlws.FILTER(G13:Z13, G13:Z13&lt;&gt;""),_xlpm.sorted,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"&amp;F13&amp;""": ["&amp;_xlpm.result&amp;"]")</f>
        <v>"Tier 12": [{"start": "2026-09-11", "end": "2026-09-11"}]</v>
      </c>
    </row>
    <row r="14" spans="1:27" x14ac:dyDescent="0.2">
      <c r="A14" s="3">
        <v>46081</v>
      </c>
      <c r="B14" s="1">
        <v>676.36</v>
      </c>
      <c r="C14">
        <f t="shared" si="0"/>
        <v>100</v>
      </c>
      <c r="D14">
        <v>522.32000000000005</v>
      </c>
      <c r="E14" s="3"/>
      <c r="F14">
        <v>13</v>
      </c>
      <c r="G14" s="3" cm="1">
        <f t="array" ref="G14:H14">TRANSPOSE(_xlfn._xlws.FILTER($A$2:$A$2000, $C$2:$C$2000=F14))</f>
        <v>46256</v>
      </c>
      <c r="H14" s="3">
        <v>46257</v>
      </c>
      <c r="AA14" t="str" cm="1">
        <f t="array" ref="AA14">_xlfn.LET(_xlpm.dates, _xlfn._xlws.FILTER(G14:Z14, G14:Z14&lt;&gt;""),_xlpm.sorted,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"&amp;F14&amp;""": ["&amp;_xlpm.result&amp;"]")</f>
        <v>"Tier 13": [{"start": "2026-08-22", "end": "2026-08-22"},{"start": "2026-08-23", "end": "2026-08-23"}]</v>
      </c>
    </row>
    <row r="15" spans="1:27" x14ac:dyDescent="0.2">
      <c r="A15" s="3">
        <v>46082</v>
      </c>
      <c r="B15" s="2">
        <v>660.63</v>
      </c>
      <c r="C15">
        <f t="shared" si="0"/>
        <v>78</v>
      </c>
      <c r="D15">
        <v>524.16999999999996</v>
      </c>
      <c r="F15">
        <v>14</v>
      </c>
      <c r="G15" s="3" cm="1">
        <f t="array" ref="G15">TRANSPOSE(_xlfn._xlws.FILTER($A$2:$A$2000, $C$2:$C$2000=F15))</f>
        <v>46258</v>
      </c>
      <c r="AA15" t="str" cm="1">
        <f t="array" ref="AA15">_xlfn.LET(_xlpm.dates, _xlfn._xlws.FILTER(G15:Z15, G15:Z15&lt;&gt;""),_xlpm.sorted,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"&amp;F15&amp;""": ["&amp;_xlpm.result&amp;"]")</f>
        <v>"Tier 14": [{"start": "2026-08-24", "end": "2026-08-24"}]</v>
      </c>
    </row>
    <row r="16" spans="1:27" x14ac:dyDescent="0.2">
      <c r="A16" s="3">
        <v>46083</v>
      </c>
      <c r="B16" s="2">
        <v>660.63</v>
      </c>
      <c r="C16">
        <f t="shared" si="0"/>
        <v>78</v>
      </c>
      <c r="D16">
        <v>525.32000000000005</v>
      </c>
      <c r="F16">
        <v>15</v>
      </c>
      <c r="G16" s="3" cm="1">
        <f t="array" ref="G16">TRANSPOSE(_xlfn._xlws.FILTER($A$2:$A$2000, $C$2:$C$2000=F16))</f>
        <v>46271</v>
      </c>
      <c r="AA16" t="str" cm="1">
        <f t="array" ref="AA16">_xlfn.LET(_xlpm.dates, _xlfn._xlws.FILTER(G16:Z16, G16:Z16&lt;&gt;""),_xlpm.sorted,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"&amp;F16&amp;""": ["&amp;_xlpm.result&amp;"]")</f>
        <v>"Tier 15": [{"start": "2026-09-06", "end": "2026-09-06"}]</v>
      </c>
    </row>
    <row r="17" spans="1:27" x14ac:dyDescent="0.2">
      <c r="A17" s="3">
        <v>46084</v>
      </c>
      <c r="B17" s="2">
        <v>666.71</v>
      </c>
      <c r="C17">
        <f t="shared" si="0"/>
        <v>85</v>
      </c>
      <c r="D17">
        <v>526.41999999999996</v>
      </c>
      <c r="F17">
        <v>16</v>
      </c>
      <c r="G17" s="3" cm="1">
        <f t="array" ref="G17">TRANSPOSE(_xlfn._xlws.FILTER($A$2:$A$2000, $C$2:$C$2000=F17))</f>
        <v>46280</v>
      </c>
      <c r="AA17" t="str" cm="1">
        <f t="array" ref="AA17">_xlfn.LET(_xlpm.dates, _xlfn._xlws.FILTER(G17:Z17, G17:Z17&lt;&gt;""),_xlpm.sorted,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"&amp;F17&amp;""": ["&amp;_xlpm.result&amp;"]")</f>
        <v>"Tier 16": [{"start": "2026-09-15", "end": "2026-09-15"}]</v>
      </c>
    </row>
    <row r="18" spans="1:27" x14ac:dyDescent="0.2">
      <c r="A18" s="3">
        <v>46085</v>
      </c>
      <c r="B18" s="2">
        <v>680.39</v>
      </c>
      <c r="C18">
        <f t="shared" si="0"/>
        <v>108</v>
      </c>
      <c r="D18">
        <v>527.57000000000005</v>
      </c>
      <c r="F18">
        <v>17</v>
      </c>
      <c r="G18" s="3" cm="1">
        <f t="array" ref="G18">TRANSPOSE(_xlfn._xlws.FILTER($A$2:$A$2000, $C$2:$C$2000=F18))</f>
        <v>46250</v>
      </c>
      <c r="AA18" t="str" cm="1">
        <f t="array" ref="AA18">_xlfn.LET(_xlpm.dates, _xlfn._xlws.FILTER(G18:Z18, G18:Z18&lt;&gt;""),_xlpm.sorted,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"&amp;F18&amp;""": ["&amp;_xlpm.result&amp;"]")</f>
        <v>"Tier 17": [{"start": "2026-08-16", "end": "2026-08-16"}]</v>
      </c>
    </row>
    <row r="19" spans="1:27" x14ac:dyDescent="0.2">
      <c r="A19" s="3">
        <v>46086</v>
      </c>
      <c r="B19" s="2">
        <v>693.31</v>
      </c>
      <c r="C19">
        <f t="shared" si="0"/>
        <v>132</v>
      </c>
      <c r="D19">
        <v>530.16999999999996</v>
      </c>
      <c r="F19">
        <v>18</v>
      </c>
      <c r="G19" s="3" cm="1">
        <f t="array" ref="G19">TRANSPOSE(_xlfn._xlws.FILTER($A$2:$A$2000, $C$2:$C$2000=F19))</f>
        <v>46266</v>
      </c>
      <c r="AA19" t="str" cm="1">
        <f t="array" ref="AA19">_xlfn.LET(_xlpm.dates, _xlfn._xlws.FILTER(G19:Z19, G19:Z19&lt;&gt;""),_xlpm.sorted,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"&amp;F19&amp;""": ["&amp;_xlpm.result&amp;"]")</f>
        <v>"Tier 18": [{"start": "2026-09-01", "end": "2026-09-01"}]</v>
      </c>
    </row>
    <row r="20" spans="1:27" x14ac:dyDescent="0.2">
      <c r="A20" s="3">
        <v>46087</v>
      </c>
      <c r="B20" s="2">
        <v>702.44</v>
      </c>
      <c r="C20">
        <f t="shared" si="0"/>
        <v>148</v>
      </c>
      <c r="D20">
        <v>532.82000000000005</v>
      </c>
      <c r="F20">
        <v>19</v>
      </c>
      <c r="G20" s="3" cm="1">
        <f t="array" ref="G20:H20">TRANSPOSE(_xlfn._xlws.FILTER($A$2:$A$2000, $C$2:$C$2000=F20))</f>
        <v>46265</v>
      </c>
      <c r="H20" s="3">
        <v>46285</v>
      </c>
      <c r="AA20" t="str" cm="1">
        <f t="array" ref="AA20">_xlfn.LET(_xlpm.dates, _xlfn._xlws.FILTER(G20:Z20, G20:Z20&lt;&gt;""),_xlpm.sorted,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"&amp;F20&amp;""": ["&amp;_xlpm.result&amp;"]")</f>
        <v>"Tier 19": [{"start": "2026-08-31", "end": "2026-08-31"},{"start": "2026-09-20", "end": "2026-09-20"}]</v>
      </c>
    </row>
    <row r="21" spans="1:27" x14ac:dyDescent="0.2">
      <c r="A21" s="3">
        <v>46088</v>
      </c>
      <c r="B21" s="2">
        <v>703.97</v>
      </c>
      <c r="C21">
        <f t="shared" si="0"/>
        <v>150</v>
      </c>
      <c r="D21">
        <v>535.07000000000005</v>
      </c>
      <c r="F21">
        <v>20</v>
      </c>
      <c r="G21" s="3" cm="1">
        <f t="array" ref="G21">TRANSPOSE(_xlfn._xlws.FILTER($A$2:$A$2000, $C$2:$C$2000=F21))</f>
        <v>46264</v>
      </c>
      <c r="AA21" t="str" cm="1">
        <f t="array" ref="AA21">_xlfn.LET(_xlpm.dates, _xlfn._xlws.FILTER(G21:Z21, G21:Z21&lt;&gt;""),_xlpm.sorted,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"&amp;F21&amp;""": ["&amp;_xlpm.result&amp;"]")</f>
        <v>"Tier 20": [{"start": "2026-08-30", "end": "2026-08-30"}]</v>
      </c>
    </row>
    <row r="22" spans="1:27" x14ac:dyDescent="0.2">
      <c r="A22" s="3">
        <v>46089</v>
      </c>
      <c r="B22" s="2">
        <v>701.68</v>
      </c>
      <c r="C22">
        <f t="shared" si="0"/>
        <v>146</v>
      </c>
      <c r="D22">
        <v>535.82000000000005</v>
      </c>
      <c r="F22">
        <v>21</v>
      </c>
      <c r="G22" s="3" cm="1">
        <f t="array" ref="G22">TRANSPOSE(_xlfn._xlws.FILTER($A$2:$A$2000, $C$2:$C$2000=F22))</f>
        <v>46286</v>
      </c>
      <c r="AA22" t="str" cm="1">
        <f t="array" ref="AA22">_xlfn.LET(_xlpm.dates, _xlfn._xlws.FILTER(G22:Z22, G22:Z22&lt;&gt;""),_xlpm.sorted,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"&amp;F22&amp;""": ["&amp;_xlpm.result&amp;"]")</f>
        <v>"Tier 21": [{"start": "2026-09-21", "end": "2026-09-21"}]</v>
      </c>
    </row>
    <row r="23" spans="1:27" x14ac:dyDescent="0.2">
      <c r="A23" s="3">
        <v>46090</v>
      </c>
      <c r="B23" s="2">
        <v>701.68</v>
      </c>
      <c r="C23">
        <f t="shared" si="0"/>
        <v>146</v>
      </c>
      <c r="D23">
        <v>536.89</v>
      </c>
      <c r="F23">
        <v>22</v>
      </c>
      <c r="G23" s="3" cm="1">
        <f t="array" ref="G23">TRANSPOSE(_xlfn._xlws.FILTER($A$2:$A$2000, $C$2:$C$2000=F23))</f>
        <v>46281</v>
      </c>
      <c r="AA23" t="str" cm="1">
        <f t="array" ref="AA23">_xlfn.LET(_xlpm.dates, _xlfn._xlws.FILTER(G23:Z23, G23:Z23&lt;&gt;""),_xlpm.sorted,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"&amp;F23&amp;""": ["&amp;_xlpm.result&amp;"]")</f>
        <v>"Tier 22": [{"start": "2026-09-16", "end": "2026-09-16"}]</v>
      </c>
    </row>
    <row r="24" spans="1:27" x14ac:dyDescent="0.2">
      <c r="A24" s="3">
        <v>46091</v>
      </c>
      <c r="B24" s="2">
        <v>703.97</v>
      </c>
      <c r="C24">
        <f t="shared" si="0"/>
        <v>150</v>
      </c>
      <c r="D24">
        <v>538.07000000000005</v>
      </c>
      <c r="F24">
        <v>23</v>
      </c>
      <c r="G24" s="3" cm="1">
        <f t="array" ref="G24">TRANSPOSE(_xlfn._xlws.FILTER($A$2:$A$2000, $C$2:$C$2000=F24))</f>
        <v>46284</v>
      </c>
      <c r="AA24" t="str" cm="1">
        <f t="array" ref="AA24">_xlfn.LET(_xlpm.dates, _xlfn._xlws.FILTER(G24:Z24, G24:Z24&lt;&gt;""),_xlpm.sorted,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"&amp;F24&amp;""": ["&amp;_xlpm.result&amp;"]")</f>
        <v>"Tier 23": [{"start": "2026-09-19", "end": "2026-09-19"}]</v>
      </c>
    </row>
    <row r="25" spans="1:27" x14ac:dyDescent="0.2">
      <c r="A25" s="3">
        <v>46092</v>
      </c>
      <c r="B25" s="2">
        <v>706.25</v>
      </c>
      <c r="C25">
        <f t="shared" si="0"/>
        <v>156</v>
      </c>
      <c r="D25">
        <v>541.41</v>
      </c>
      <c r="F25">
        <v>24</v>
      </c>
      <c r="G25" s="3" cm="1">
        <f t="array" ref="G25">TRANSPOSE(_xlfn._xlws.FILTER($A$2:$A$2000, $C$2:$C$2000=F25))</f>
        <v>46259</v>
      </c>
      <c r="AA25" t="str" cm="1">
        <f t="array" ref="AA25">_xlfn.LET(_xlpm.dates, _xlfn._xlws.FILTER(G25:Z25, G25:Z25&lt;&gt;""),_xlpm.sorted,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"&amp;F25&amp;""": ["&amp;_xlpm.result&amp;"]")</f>
        <v>"Tier 24": [{"start": "2026-08-25", "end": "2026-08-25"}]</v>
      </c>
    </row>
    <row r="26" spans="1:27" x14ac:dyDescent="0.2">
      <c r="A26" s="3">
        <v>46093</v>
      </c>
      <c r="B26" s="2">
        <v>704.72</v>
      </c>
      <c r="C26">
        <f t="shared" si="0"/>
        <v>152</v>
      </c>
      <c r="D26">
        <v>541.83000000000004</v>
      </c>
      <c r="F26">
        <v>25</v>
      </c>
      <c r="G26" s="3" cm="1">
        <f t="array" ref="G26">TRANSPOSE(_xlfn._xlws.FILTER($A$2:$A$2000, $C$2:$C$2000=F26))</f>
        <v>46270</v>
      </c>
      <c r="AA26" t="str" cm="1">
        <f t="array" ref="AA26">_xlfn.LET(_xlpm.dates, _xlfn._xlws.FILTER(G26:Z26, G26:Z26&lt;&gt;""),_xlpm.sorted,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"&amp;F26&amp;""": ["&amp;_xlpm.result&amp;"]")</f>
        <v>"Tier 25": [{"start": "2026-09-05", "end": "2026-09-05"}]</v>
      </c>
    </row>
    <row r="27" spans="1:27" x14ac:dyDescent="0.2">
      <c r="A27" s="3">
        <v>46094</v>
      </c>
      <c r="B27" s="2">
        <v>703.19</v>
      </c>
      <c r="C27">
        <f t="shared" si="0"/>
        <v>149</v>
      </c>
      <c r="D27">
        <v>542.15</v>
      </c>
      <c r="F27">
        <v>26</v>
      </c>
      <c r="G27" s="3" cm="1">
        <f t="array" ref="G27:H27">TRANSPOSE(_xlfn._xlws.FILTER($A$2:$A$2000, $C$2:$C$2000=F27))</f>
        <v>46267</v>
      </c>
      <c r="H27" s="3">
        <v>46282</v>
      </c>
      <c r="AA27" t="str" cm="1">
        <f t="array" ref="AA27">_xlfn.LET(_xlpm.dates, _xlfn._xlws.FILTER(G27:Z27, G27:Z27&lt;&gt;""),_xlpm.sorted,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"&amp;F27&amp;""": ["&amp;_xlpm.result&amp;"]")</f>
        <v>"Tier 26": [{"start": "2026-09-02", "end": "2026-09-02"},{"start": "2026-09-17", "end": "2026-09-17"}]</v>
      </c>
    </row>
    <row r="28" spans="1:27" x14ac:dyDescent="0.2">
      <c r="A28" s="3">
        <v>46095</v>
      </c>
      <c r="B28" s="2">
        <v>696.37</v>
      </c>
      <c r="C28">
        <f t="shared" si="0"/>
        <v>138</v>
      </c>
      <c r="D28">
        <v>544.4</v>
      </c>
      <c r="F28">
        <v>27</v>
      </c>
      <c r="G28" s="3" cm="1">
        <f t="array" ref="G28">TRANSPOSE(_xlfn._xlws.FILTER($A$2:$A$2000, $C$2:$C$2000=F28))</f>
        <v>46287</v>
      </c>
      <c r="AA28" t="str" cm="1">
        <f t="array" ref="AA28">_xlfn.LET(_xlpm.dates, _xlfn._xlws.FILTER(G28:Z28, G28:Z28&lt;&gt;""),_xlpm.sorted,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"&amp;F28&amp;""": ["&amp;_xlpm.result&amp;"]")</f>
        <v>"Tier 27": [{"start": "2026-09-22", "end": "2026-09-22"}]</v>
      </c>
    </row>
    <row r="29" spans="1:27" x14ac:dyDescent="0.2">
      <c r="A29" s="3">
        <v>46096</v>
      </c>
      <c r="B29" s="2">
        <v>689.51</v>
      </c>
      <c r="C29">
        <f t="shared" si="0"/>
        <v>124</v>
      </c>
      <c r="D29">
        <v>544.82000000000005</v>
      </c>
      <c r="F29">
        <v>28</v>
      </c>
      <c r="G29" s="3" cm="1">
        <f t="array" ref="G29">TRANSPOSE(_xlfn._xlws.FILTER($A$2:$A$2000, $C$2:$C$2000=F29))</f>
        <v>46283</v>
      </c>
      <c r="AA29" t="str" cm="1">
        <f t="array" ref="AA29">_xlfn.LET(_xlpm.dates, _xlfn._xlws.FILTER(G29:Z29, G29:Z29&lt;&gt;""),_xlpm.sorted,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"&amp;F29&amp;""": ["&amp;_xlpm.result&amp;"]")</f>
        <v>"Tier 28": [{"start": "2026-09-18", "end": "2026-09-18"}]</v>
      </c>
    </row>
    <row r="30" spans="1:27" x14ac:dyDescent="0.2">
      <c r="A30" s="3">
        <v>46097</v>
      </c>
      <c r="B30" s="2">
        <v>686.48</v>
      </c>
      <c r="C30">
        <f t="shared" si="0"/>
        <v>118</v>
      </c>
      <c r="D30">
        <v>547.83000000000004</v>
      </c>
      <c r="F30">
        <v>29</v>
      </c>
      <c r="G30" s="3" cm="1">
        <f t="array" ref="G30">TRANSPOSE(_xlfn._xlws.FILTER($A$2:$A$2000, $C$2:$C$2000=F30))</f>
        <v>46263</v>
      </c>
      <c r="AA30" t="str" cm="1">
        <f t="array" ref="AA30">_xlfn.LET(_xlpm.dates, _xlfn._xlws.FILTER(G30:Z30, G30:Z30&lt;&gt;""),_xlpm.sorted,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"&amp;F30&amp;""": ["&amp;_xlpm.result&amp;"]")</f>
        <v>"Tier 29": [{"start": "2026-08-29", "end": "2026-08-29"}]</v>
      </c>
    </row>
    <row r="31" spans="1:27" x14ac:dyDescent="0.2">
      <c r="A31" s="3">
        <v>46098</v>
      </c>
      <c r="B31" s="2">
        <v>687.99</v>
      </c>
      <c r="D31">
        <v>551.13</v>
      </c>
      <c r="F31">
        <v>30</v>
      </c>
      <c r="G31" s="3" cm="1">
        <f t="array" ref="G31">TRANSPOSE(_xlfn._xlws.FILTER($A$2:$A$2000, $C$2:$C$2000=F31))</f>
        <v>46260</v>
      </c>
      <c r="AA31" t="str" cm="1">
        <f t="array" ref="AA31">_xlfn.LET(_xlpm.dates, _xlfn._xlws.FILTER(G31:Z31, G31:Z31&lt;&gt;""),_xlpm.sorted,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"&amp;F31&amp;""": ["&amp;_xlpm.result&amp;"]")</f>
        <v>"Tier 30": [{"start": "2026-08-26", "end": "2026-08-26"}]</v>
      </c>
    </row>
    <row r="32" spans="1:27" x14ac:dyDescent="0.2">
      <c r="A32" s="3">
        <v>46099</v>
      </c>
      <c r="B32" s="2">
        <v>689.51</v>
      </c>
      <c r="C32">
        <f t="shared" si="0"/>
        <v>124</v>
      </c>
      <c r="D32">
        <v>551.88</v>
      </c>
      <c r="F32">
        <v>31</v>
      </c>
      <c r="G32" s="3" cm="1">
        <f t="array" ref="G32">TRANSPOSE(_xlfn._xlws.FILTER($A$2:$A$2000, $C$2:$C$2000=F32))</f>
        <v>46288</v>
      </c>
      <c r="AA32" t="str" cm="1">
        <f t="array" ref="AA32">_xlfn.LET(_xlpm.dates, _xlfn._xlws.FILTER(G32:Z32, G32:Z32&lt;&gt;""),_xlpm.sorted,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"&amp;F32&amp;""": ["&amp;_xlpm.result&amp;"]")</f>
        <v>"Tier 31": [{"start": "2026-09-23", "end": "2026-09-23"}]</v>
      </c>
    </row>
    <row r="33" spans="1:27" x14ac:dyDescent="0.2">
      <c r="A33" s="3">
        <v>46100</v>
      </c>
      <c r="B33" s="2">
        <v>694.08</v>
      </c>
      <c r="C33">
        <f t="shared" si="0"/>
        <v>134</v>
      </c>
      <c r="D33">
        <v>553.09</v>
      </c>
      <c r="F33">
        <v>32</v>
      </c>
      <c r="G33" s="3" cm="1">
        <f t="array" ref="G33">TRANSPOSE(_xlfn._xlws.FILTER($A$2:$A$2000, $C$2:$C$2000=F33))</f>
        <v>46249</v>
      </c>
      <c r="AA33" t="str" cm="1">
        <f t="array" ref="AA33">_xlfn.LET(_xlpm.dates, _xlfn._xlws.FILTER(G33:Z33, G33:Z33&lt;&gt;""),_xlpm.sorted,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"&amp;F33&amp;""": ["&amp;_xlpm.result&amp;"]")</f>
        <v>"Tier 32": [{"start": "2026-08-15", "end": "2026-08-15"}]</v>
      </c>
    </row>
    <row r="34" spans="1:27" x14ac:dyDescent="0.2">
      <c r="A34" s="3">
        <v>46101</v>
      </c>
      <c r="B34" s="2">
        <v>694.84</v>
      </c>
      <c r="C34">
        <f t="shared" si="0"/>
        <v>136</v>
      </c>
      <c r="D34">
        <v>554.13</v>
      </c>
      <c r="F34">
        <v>33</v>
      </c>
      <c r="G34" s="3" cm="1">
        <f t="array" ref="G34">TRANSPOSE(_xlfn._xlws.FILTER($A$2:$A$2000, $C$2:$C$2000=F34))</f>
        <v>46262</v>
      </c>
      <c r="AA34" t="str" cm="1">
        <f t="array" ref="AA34">_xlfn.LET(_xlpm.dates, _xlfn._xlws.FILTER(G34:Z34, G34:Z34&lt;&gt;""),_xlpm.sorted,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"&amp;F34&amp;""": ["&amp;_xlpm.result&amp;"]")</f>
        <v>"Tier 33": [{"start": "2026-08-28", "end": "2026-08-28"}]</v>
      </c>
    </row>
    <row r="35" spans="1:27" x14ac:dyDescent="0.2">
      <c r="A35" s="3">
        <v>46102</v>
      </c>
      <c r="B35" s="2">
        <v>691.78</v>
      </c>
      <c r="C35">
        <f t="shared" si="0"/>
        <v>129</v>
      </c>
      <c r="D35">
        <v>554.59</v>
      </c>
      <c r="F35">
        <v>34</v>
      </c>
      <c r="G35" s="3" cm="1">
        <f t="array" ref="G35">TRANSPOSE(_xlfn._xlws.FILTER($A$2:$A$2000, $C$2:$C$2000=F35))</f>
        <v>46269</v>
      </c>
      <c r="AA35" t="str" cm="1">
        <f t="array" ref="AA35">_xlfn.LET(_xlpm.dates, _xlfn._xlws.FILTER(G35:Z35, G35:Z35&lt;&gt;""),_xlpm.sorted,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"&amp;F35&amp;""": ["&amp;_xlpm.result&amp;"]")</f>
        <v>"Tier 34": [{"start": "2026-09-04", "end": "2026-09-04"}]</v>
      </c>
    </row>
    <row r="36" spans="1:27" x14ac:dyDescent="0.2">
      <c r="A36" s="3">
        <v>46103</v>
      </c>
      <c r="B36" s="2">
        <v>687.99</v>
      </c>
      <c r="C36">
        <f t="shared" si="0"/>
        <v>121</v>
      </c>
      <c r="D36">
        <v>557.13</v>
      </c>
      <c r="F36">
        <v>35</v>
      </c>
      <c r="G36" s="3" cm="1">
        <f t="array" ref="G36">TRANSPOSE(_xlfn._xlws.FILTER($A$2:$A$2000, $C$2:$C$2000=F36))</f>
        <v>46268</v>
      </c>
      <c r="AA36" t="str" cm="1">
        <f t="array" ref="AA36">_xlfn.LET(_xlpm.dates, _xlfn._xlws.FILTER(G36:Z36, G36:Z36&lt;&gt;""),_xlpm.sorted,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"&amp;F36&amp;""": ["&amp;_xlpm.result&amp;"]")</f>
        <v>"Tier 35": [{"start": "2026-09-03", "end": "2026-09-03"}]</v>
      </c>
    </row>
    <row r="37" spans="1:27" x14ac:dyDescent="0.2">
      <c r="A37" s="3">
        <v>46104</v>
      </c>
      <c r="B37" s="2">
        <v>685.71</v>
      </c>
      <c r="C37">
        <f t="shared" si="0"/>
        <v>117</v>
      </c>
      <c r="D37">
        <v>557.88</v>
      </c>
      <c r="F37">
        <v>36</v>
      </c>
      <c r="G37" s="3" cm="1">
        <f t="array" ref="G37">TRANSPOSE(_xlfn._xlws.FILTER($A$2:$A$2000, $C$2:$C$2000=F37))</f>
        <v>46289</v>
      </c>
      <c r="AA37" t="str" cm="1">
        <f t="array" ref="AA37">_xlfn.LET(_xlpm.dates, _xlfn._xlws.FILTER(G37:Z37, G37:Z37&lt;&gt;""),_xlpm.sorted,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"&amp;F37&amp;""": ["&amp;_xlpm.result&amp;"]")</f>
        <v>"Tier 36": [{"start": "2026-09-24", "end": "2026-09-24"}]</v>
      </c>
    </row>
    <row r="38" spans="1:27" x14ac:dyDescent="0.2">
      <c r="A38" s="3">
        <v>46105</v>
      </c>
      <c r="B38" s="2">
        <v>687.99</v>
      </c>
      <c r="C38">
        <f t="shared" si="0"/>
        <v>121</v>
      </c>
      <c r="D38">
        <v>559.37</v>
      </c>
      <c r="F38">
        <v>37</v>
      </c>
      <c r="G38" s="3" cm="1">
        <f t="array" ref="G38">TRANSPOSE(_xlfn._xlws.FILTER($A$2:$A$2000, $C$2:$C$2000=F38))</f>
        <v>46261</v>
      </c>
      <c r="AA38" t="str" cm="1">
        <f t="array" ref="AA38">_xlfn.LET(_xlpm.dates, _xlfn._xlws.FILTER(G38:Z38, G38:Z38&lt;&gt;""),_xlpm.sorted,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"&amp;F38&amp;""": ["&amp;_xlpm.result&amp;"]")</f>
        <v>"Tier 37": [{"start": "2026-08-27", "end": "2026-08-27"}]</v>
      </c>
    </row>
    <row r="39" spans="1:27" x14ac:dyDescent="0.2">
      <c r="A39" s="3">
        <v>46106</v>
      </c>
      <c r="B39" s="2">
        <v>694.08</v>
      </c>
      <c r="C39">
        <f t="shared" si="0"/>
        <v>134</v>
      </c>
      <c r="D39">
        <v>568.09</v>
      </c>
      <c r="F39">
        <v>38</v>
      </c>
      <c r="G39" s="3" cm="1">
        <f t="array" ref="G39:H39">TRANSPOSE(_xlfn._xlws.FILTER($A$2:$A$2000, $C$2:$C$2000=F39))</f>
        <v>46248</v>
      </c>
      <c r="H39" s="3">
        <v>46290</v>
      </c>
      <c r="AA39" t="str" cm="1">
        <f t="array" ref="AA39">_xlfn.LET(_xlpm.dates, _xlfn._xlws.FILTER(G39:Z39, G39:Z39&lt;&gt;""),_xlpm.sorted,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"&amp;F39&amp;""": ["&amp;_xlpm.result&amp;"]")</f>
        <v>"Tier 38": [{"start": "2026-08-14", "end": "2026-08-14"},{"start": "2026-09-25", "end": "2026-09-25"}]</v>
      </c>
    </row>
    <row r="40" spans="1:27" x14ac:dyDescent="0.2">
      <c r="A40" s="3">
        <v>46107</v>
      </c>
      <c r="B40" s="2">
        <v>697.88</v>
      </c>
      <c r="C40">
        <f t="shared" si="0"/>
        <v>140</v>
      </c>
      <c r="D40">
        <v>569.11</v>
      </c>
      <c r="F40">
        <v>39</v>
      </c>
      <c r="G40" s="3" cm="1">
        <f t="array" ref="G40">TRANSPOSE(_xlfn._xlws.FILTER($A$2:$A$2000, $C$2:$C$2000=F40))</f>
        <v>46244</v>
      </c>
      <c r="AA40" t="str" cm="1">
        <f t="array" ref="AA40">_xlfn.LET(_xlpm.dates, _xlfn._xlws.FILTER(G40:Z40, G40:Z40&lt;&gt;""),_xlpm.sorted,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"&amp;F40&amp;""": ["&amp;_xlpm.result&amp;"]")</f>
        <v>"Tier 39": [{"start": "2026-08-10", "end": "2026-08-10"}]</v>
      </c>
    </row>
    <row r="41" spans="1:27" x14ac:dyDescent="0.2">
      <c r="A41" s="3">
        <v>46108</v>
      </c>
      <c r="B41" s="2">
        <v>701.68</v>
      </c>
      <c r="C41">
        <f t="shared" si="0"/>
        <v>146</v>
      </c>
      <c r="D41">
        <v>572.59</v>
      </c>
      <c r="F41">
        <v>40</v>
      </c>
      <c r="G41" s="3" cm="1">
        <f t="array" ref="G41">TRANSPOSE(_xlfn._xlws.FILTER($A$2:$A$2000, $C$2:$C$2000=F41))</f>
        <v>46243</v>
      </c>
      <c r="AA41" t="str" cm="1">
        <f t="array" ref="AA41">_xlfn.LET(_xlpm.dates, _xlfn._xlws.FILTER(G41:Z41, G41:Z41&lt;&gt;""),_xlpm.sorted,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"&amp;F41&amp;""": ["&amp;_xlpm.result&amp;"]")</f>
        <v>"Tier 40": [{"start": "2026-08-09", "end": "2026-08-09"}]</v>
      </c>
    </row>
    <row r="42" spans="1:27" x14ac:dyDescent="0.2">
      <c r="A42" s="3">
        <v>46109</v>
      </c>
      <c r="B42" s="2">
        <v>703.97</v>
      </c>
      <c r="C42">
        <f t="shared" si="0"/>
        <v>150</v>
      </c>
      <c r="D42">
        <v>576.61</v>
      </c>
      <c r="F42">
        <v>41</v>
      </c>
      <c r="G42" s="3" cm="1">
        <f t="array" ref="G42">TRANSPOSE(_xlfn._xlws.FILTER($A$2:$A$2000, $C$2:$C$2000=F42))</f>
        <v>46245</v>
      </c>
      <c r="AA42" t="str" cm="1">
        <f t="array" ref="AA42">_xlfn.LET(_xlpm.dates, _xlfn._xlws.FILTER(G42:Z42, G42:Z42&lt;&gt;""),_xlpm.sorted,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"&amp;F42&amp;""": ["&amp;_xlpm.result&amp;"]")</f>
        <v>"Tier 41": [{"start": "2026-08-11", "end": "2026-08-11"}]</v>
      </c>
    </row>
    <row r="43" spans="1:27" x14ac:dyDescent="0.2">
      <c r="A43" s="3">
        <v>46110</v>
      </c>
      <c r="B43" s="1">
        <v>701.68</v>
      </c>
      <c r="C43">
        <f t="shared" si="0"/>
        <v>146</v>
      </c>
      <c r="D43">
        <v>580.1</v>
      </c>
      <c r="F43">
        <v>42</v>
      </c>
      <c r="G43" s="3" cm="1">
        <f t="array" ref="G43">TRANSPOSE(_xlfn._xlws.FILTER($A$2:$A$2000, $C$2:$C$2000=F43))</f>
        <v>46291</v>
      </c>
      <c r="AA43" t="str" cm="1">
        <f t="array" ref="AA43">_xlfn.LET(_xlpm.dates, _xlfn._xlws.FILTER(G43:Z43, G43:Z43&lt;&gt;""),_xlpm.sorted,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"&amp;F43&amp;""": ["&amp;_xlpm.result&amp;"]")</f>
        <v>"Tier 42": [{"start": "2026-09-26", "end": "2026-09-26"}]</v>
      </c>
    </row>
    <row r="44" spans="1:27" x14ac:dyDescent="0.2">
      <c r="A44" s="3">
        <v>46111</v>
      </c>
      <c r="B44" s="1">
        <v>701.68</v>
      </c>
      <c r="C44">
        <f t="shared" si="0"/>
        <v>146</v>
      </c>
      <c r="D44">
        <v>581.6</v>
      </c>
      <c r="F44">
        <v>43</v>
      </c>
      <c r="G44" s="3" cm="1">
        <f t="array" ref="G44">TRANSPOSE(_xlfn._xlws.FILTER($A$2:$A$2000, $C$2:$C$2000=F44))</f>
        <v>46237</v>
      </c>
      <c r="AA44" t="str" cm="1">
        <f t="array" ref="AA44">_xlfn.LET(_xlpm.dates, _xlfn._xlws.FILTER(G44:Z44, G44:Z44&lt;&gt;""),_xlpm.sorted,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"&amp;F44&amp;""": ["&amp;_xlpm.result&amp;"]")</f>
        <v>"Tier 43": [{"start": "2026-08-03", "end": "2026-08-03"}]</v>
      </c>
    </row>
    <row r="45" spans="1:27" x14ac:dyDescent="0.2">
      <c r="A45" s="3">
        <v>46112</v>
      </c>
      <c r="B45" s="1">
        <v>703.97</v>
      </c>
      <c r="C45">
        <f t="shared" si="0"/>
        <v>150</v>
      </c>
      <c r="D45">
        <v>582.34</v>
      </c>
      <c r="F45">
        <v>44</v>
      </c>
      <c r="G45" s="3" cm="1">
        <f t="array" ref="G45">TRANSPOSE(_xlfn._xlws.FILTER($A$2:$A$2000, $C$2:$C$2000=F45))</f>
        <v>46242</v>
      </c>
      <c r="AA45" t="str" cm="1">
        <f t="array" ref="AA45">_xlfn.LET(_xlpm.dates, _xlfn._xlws.FILTER(G45:Z45, G45:Z45&lt;&gt;""),_xlpm.sorted,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"&amp;F45&amp;""": ["&amp;_xlpm.result&amp;"]")</f>
        <v>"Tier 44": [{"start": "2026-08-08", "end": "2026-08-08"}]</v>
      </c>
    </row>
    <row r="46" spans="1:27" x14ac:dyDescent="0.2">
      <c r="A46" s="3">
        <v>46113</v>
      </c>
      <c r="B46" s="2">
        <v>706.25</v>
      </c>
      <c r="C46">
        <f t="shared" si="0"/>
        <v>156</v>
      </c>
      <c r="D46">
        <v>583.34</v>
      </c>
      <c r="F46">
        <v>45</v>
      </c>
      <c r="G46" s="3" cm="1">
        <f t="array" ref="G46">TRANSPOSE(_xlfn._xlws.FILTER($A$2:$A$2000, $C$2:$C$2000=F46))</f>
        <v>46246</v>
      </c>
      <c r="AA46" t="str" cm="1">
        <f t="array" ref="AA46">_xlfn.LET(_xlpm.dates, _xlfn._xlws.FILTER(G46:Z46, G46:Z46&lt;&gt;""),_xlpm.sorted,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"&amp;F46&amp;""": ["&amp;_xlpm.result&amp;"]")</f>
        <v>"Tier 45": [{"start": "2026-08-12", "end": "2026-08-12"}]</v>
      </c>
    </row>
    <row r="47" spans="1:27" x14ac:dyDescent="0.2">
      <c r="A47" s="3">
        <v>46114</v>
      </c>
      <c r="B47" s="2">
        <v>706.25</v>
      </c>
      <c r="C47">
        <f t="shared" si="0"/>
        <v>156</v>
      </c>
      <c r="D47">
        <v>585.35</v>
      </c>
      <c r="F47">
        <v>46</v>
      </c>
      <c r="G47" s="3" cm="1">
        <f t="array" ref="G47">TRANSPOSE(_xlfn._xlws.FILTER($A$2:$A$2000, $C$2:$C$2000=F47))</f>
        <v>46241</v>
      </c>
      <c r="AA47" t="str" cm="1">
        <f t="array" ref="AA47">_xlfn.LET(_xlpm.dates, _xlfn._xlws.FILTER(G47:Z47, G47:Z47&lt;&gt;""),_xlpm.sorted,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"&amp;F47&amp;""": ["&amp;_xlpm.result&amp;"]")</f>
        <v>"Tier 46": [{"start": "2026-08-07", "end": "2026-08-07"}]</v>
      </c>
    </row>
    <row r="48" spans="1:27" x14ac:dyDescent="0.2">
      <c r="A48" s="3">
        <v>46115</v>
      </c>
      <c r="B48" s="2">
        <v>706.25</v>
      </c>
      <c r="C48">
        <f t="shared" si="0"/>
        <v>156</v>
      </c>
      <c r="D48">
        <v>586.34</v>
      </c>
      <c r="F48">
        <v>47</v>
      </c>
      <c r="G48" s="3" cm="1">
        <f t="array" ref="G48">TRANSPOSE(_xlfn._xlws.FILTER($A$2:$A$2000, $C$2:$C$2000=F48))</f>
        <v>46247</v>
      </c>
      <c r="AA48" t="str" cm="1">
        <f t="array" ref="AA48">_xlfn.LET(_xlpm.dates, _xlfn._xlws.FILTER(G48:Z48, G48:Z48&lt;&gt;""),_xlpm.sorted,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"&amp;F48&amp;""": ["&amp;_xlpm.result&amp;"]")</f>
        <v>"Tier 47": [{"start": "2026-08-13", "end": "2026-08-13"}]</v>
      </c>
    </row>
    <row r="49" spans="1:27" x14ac:dyDescent="0.2">
      <c r="A49" s="3">
        <v>46116</v>
      </c>
      <c r="B49" s="2">
        <v>703.97</v>
      </c>
      <c r="C49">
        <f t="shared" si="0"/>
        <v>150</v>
      </c>
      <c r="D49">
        <v>587.6</v>
      </c>
      <c r="F49">
        <v>48</v>
      </c>
      <c r="G49" s="3" cm="1">
        <f t="array" ref="G49">TRANSPOSE(_xlfn._xlws.FILTER($A$2:$A$2000, $C$2:$C$2000=F49))</f>
        <v>46238</v>
      </c>
      <c r="AA49" t="str" cm="1">
        <f t="array" ref="AA49">_xlfn.LET(_xlpm.dates, _xlfn._xlws.FILTER(G49:Z49, G49:Z49&lt;&gt;""),_xlpm.sorted,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"&amp;F49&amp;""": ["&amp;_xlpm.result&amp;"]")</f>
        <v>"Tier 48": [{"start": "2026-08-04", "end": "2026-08-04"}]</v>
      </c>
    </row>
    <row r="50" spans="1:27" x14ac:dyDescent="0.2">
      <c r="A50" s="3">
        <v>46117</v>
      </c>
      <c r="B50" s="2">
        <v>701.68</v>
      </c>
      <c r="C50">
        <f t="shared" si="0"/>
        <v>146</v>
      </c>
      <c r="D50">
        <v>589.87</v>
      </c>
      <c r="F50">
        <v>49</v>
      </c>
      <c r="G50" s="3" cm="1">
        <f t="array" ref="G50:H50">TRANSPOSE(_xlfn._xlws.FILTER($A$2:$A$2000, $C$2:$C$2000=F50))</f>
        <v>46239</v>
      </c>
      <c r="H50" s="3">
        <v>46240</v>
      </c>
      <c r="AA50" t="str" cm="1">
        <f t="array" ref="AA50">_xlfn.LET(_xlpm.dates, _xlfn._xlws.FILTER(G50:Z50, G50:Z50&lt;&gt;""),_xlpm.sorted,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"&amp;F50&amp;""": ["&amp;_xlpm.result&amp;"]")</f>
        <v>"Tier 49": [{"start": "2026-08-05", "end": "2026-08-05"},{"start": "2026-08-06", "end": "2026-08-06"}]</v>
      </c>
    </row>
    <row r="51" spans="1:27" x14ac:dyDescent="0.2">
      <c r="A51" s="3">
        <v>46118</v>
      </c>
      <c r="B51" s="2">
        <v>701.68</v>
      </c>
      <c r="C51">
        <f t="shared" si="0"/>
        <v>146</v>
      </c>
      <c r="D51">
        <v>591.36</v>
      </c>
      <c r="F51">
        <v>50</v>
      </c>
      <c r="G51" s="3" cm="1">
        <f t="array" ref="G51">TRANSPOSE(_xlfn._xlws.FILTER($A$2:$A$2000, $C$2:$C$2000=F51))</f>
        <v>46292</v>
      </c>
      <c r="AA51" t="str" cm="1">
        <f t="array" ref="AA51">_xlfn.LET(_xlpm.dates, _xlfn._xlws.FILTER(G51:Z51, G51:Z51&lt;&gt;""),_xlpm.sorted,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"&amp;F51&amp;""": ["&amp;_xlpm.result&amp;"]")</f>
        <v>"Tier 50": [{"start": "2026-09-27", "end": "2026-09-27"}]</v>
      </c>
    </row>
    <row r="52" spans="1:27" x14ac:dyDescent="0.2">
      <c r="A52" s="3">
        <v>46119</v>
      </c>
      <c r="B52" s="2">
        <v>703.97</v>
      </c>
      <c r="C52">
        <f t="shared" si="0"/>
        <v>150</v>
      </c>
      <c r="D52">
        <v>592.09</v>
      </c>
      <c r="F52">
        <v>51</v>
      </c>
      <c r="G52" s="3" cm="1">
        <f t="array" ref="G52">TRANSPOSE(_xlfn._xlws.FILTER($A$2:$A$2000, $C$2:$C$2000=F52))</f>
        <v>46236</v>
      </c>
      <c r="AA52" t="str" cm="1">
        <f t="array" ref="AA52">_xlfn.LET(_xlpm.dates, _xlfn._xlws.FILTER(G52:Z52, G52:Z52&lt;&gt;""),_xlpm.sorted,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"&amp;F52&amp;""": ["&amp;_xlpm.result&amp;"]")</f>
        <v>"Tier 51": [{"start": "2026-08-02", "end": "2026-08-02"}]</v>
      </c>
    </row>
    <row r="53" spans="1:27" x14ac:dyDescent="0.2">
      <c r="A53" s="3">
        <v>46120</v>
      </c>
      <c r="B53" s="2">
        <v>706.25</v>
      </c>
      <c r="C53">
        <f t="shared" si="0"/>
        <v>156</v>
      </c>
      <c r="D53">
        <v>606.37</v>
      </c>
      <c r="F53">
        <v>52</v>
      </c>
      <c r="G53" s="3" cm="1">
        <f t="array" ref="G53">TRANSPOSE(_xlfn._xlws.FILTER($A$2:$A$2000, $C$2:$C$2000=F53))</f>
        <v>46235</v>
      </c>
      <c r="AA53" t="str" cm="1">
        <f t="array" ref="AA53">_xlfn.LET(_xlpm.dates, _xlfn._xlws.FILTER(G53:Z53, G53:Z53&lt;&gt;""),_xlpm.sorted,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"&amp;F53&amp;""": ["&amp;_xlpm.result&amp;"]")</f>
        <v>"Tier 52": [{"start": "2026-08-01", "end": "2026-08-01"}]</v>
      </c>
    </row>
    <row r="54" spans="1:27" x14ac:dyDescent="0.2">
      <c r="A54" s="3">
        <v>46121</v>
      </c>
      <c r="B54" s="2">
        <v>706.25</v>
      </c>
      <c r="C54">
        <f t="shared" si="0"/>
        <v>156</v>
      </c>
      <c r="D54">
        <v>607.86</v>
      </c>
      <c r="F54">
        <v>53</v>
      </c>
      <c r="G54" s="3" cm="1">
        <f t="array" ref="G54">TRANSPOSE(_xlfn._xlws.FILTER($A$2:$A$2000, $C$2:$C$2000=F54))</f>
        <v>46229</v>
      </c>
      <c r="AA54" t="str" cm="1">
        <f t="array" ref="AA54">_xlfn.LET(_xlpm.dates, _xlfn._xlws.FILTER(G54:Z54, G54:Z54&lt;&gt;""),_xlpm.sorted,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"&amp;F54&amp;""": ["&amp;_xlpm.result&amp;"]")</f>
        <v>"Tier 53": [{"start": "2026-07-26", "end": "2026-07-26"}]</v>
      </c>
    </row>
    <row r="55" spans="1:27" x14ac:dyDescent="0.2">
      <c r="A55" s="3">
        <v>46122</v>
      </c>
      <c r="B55" s="2">
        <v>702.44</v>
      </c>
      <c r="C55">
        <f t="shared" si="0"/>
        <v>148</v>
      </c>
      <c r="D55">
        <v>608.62</v>
      </c>
      <c r="F55">
        <v>54</v>
      </c>
      <c r="G55" s="3" cm="1">
        <f t="array" ref="G55">TRANSPOSE(_xlfn._xlws.FILTER($A$2:$A$2000, $C$2:$C$2000=F55))</f>
        <v>46230</v>
      </c>
      <c r="AA55" t="str" cm="1">
        <f t="array" ref="AA55">_xlfn.LET(_xlpm.dates, _xlfn._xlws.FILTER(G55:Z55, G55:Z55&lt;&gt;""),_xlpm.sorted,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"&amp;F55&amp;""": ["&amp;_xlpm.result&amp;"]")</f>
        <v>"Tier 54": [{"start": "2026-07-27", "end": "2026-07-27"}]</v>
      </c>
    </row>
    <row r="56" spans="1:27" x14ac:dyDescent="0.2">
      <c r="A56" s="3">
        <v>46123</v>
      </c>
      <c r="B56" s="2">
        <v>696.37</v>
      </c>
      <c r="C56">
        <f t="shared" si="0"/>
        <v>138</v>
      </c>
      <c r="D56">
        <v>615.37</v>
      </c>
      <c r="F56">
        <v>55</v>
      </c>
      <c r="G56" s="3" cm="1">
        <f t="array" ref="G56:H56">TRANSPOSE(_xlfn._xlws.FILTER($A$2:$A$2000, $C$2:$C$2000=F56))</f>
        <v>46222</v>
      </c>
      <c r="H56" s="3">
        <v>46228</v>
      </c>
      <c r="AA56" t="str" cm="1">
        <f t="array" ref="AA56">_xlfn.LET(_xlpm.dates, _xlfn._xlws.FILTER(G56:Z56, G56:Z56&lt;&gt;""),_xlpm.sorted,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"&amp;F56&amp;""": ["&amp;_xlpm.result&amp;"]")</f>
        <v>"Tier 55": [{"start": "2026-07-19", "end": "2026-07-19"},{"start": "2026-07-25", "end": "2026-07-25"}]</v>
      </c>
    </row>
    <row r="57" spans="1:27" x14ac:dyDescent="0.2">
      <c r="A57" s="3">
        <v>46124</v>
      </c>
      <c r="B57" s="2">
        <v>690.28</v>
      </c>
      <c r="C57">
        <f t="shared" si="0"/>
        <v>125</v>
      </c>
      <c r="D57">
        <v>616.87</v>
      </c>
      <c r="F57">
        <v>56</v>
      </c>
      <c r="G57" s="3" cm="1">
        <f t="array" ref="G57:H57">TRANSPOSE(_xlfn._xlws.FILTER($A$2:$A$2000, $C$2:$C$2000=F57))</f>
        <v>46231</v>
      </c>
      <c r="H57" s="3">
        <v>46234</v>
      </c>
      <c r="AA57" t="str" cm="1">
        <f t="array" ref="AA57">_xlfn.LET(_xlpm.dates, _xlfn._xlws.FILTER(G57:Z57, G57:Z57&lt;&gt;""),_xlpm.sorted,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"&amp;F57&amp;""": ["&amp;_xlpm.result&amp;"]")</f>
        <v>"Tier 56": [{"start": "2026-07-28", "end": "2026-07-28"},{"start": "2026-07-31", "end": "2026-07-31"}]</v>
      </c>
    </row>
    <row r="58" spans="1:27" x14ac:dyDescent="0.2">
      <c r="A58" s="3">
        <v>46125</v>
      </c>
      <c r="B58" s="2">
        <v>690.28</v>
      </c>
      <c r="C58">
        <f t="shared" si="0"/>
        <v>125</v>
      </c>
      <c r="D58">
        <v>619.12</v>
      </c>
      <c r="F58">
        <v>57</v>
      </c>
      <c r="G58" s="3" cm="1">
        <f t="array" ref="G58:I58">TRANSPOSE(_xlfn._xlws.FILTER($A$2:$A$2000, $C$2:$C$2000=F58))</f>
        <v>46221</v>
      </c>
      <c r="H58" s="3">
        <v>46223</v>
      </c>
      <c r="I58" s="3">
        <v>46233</v>
      </c>
      <c r="AA58" t="str" cm="1">
        <f t="array" ref="AA58">_xlfn.LET(_xlpm.dates, _xlfn._xlws.FILTER(G58:Z58, G58:Z58&lt;&gt;""),_xlpm.sorted,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"&amp;F58&amp;""": ["&amp;_xlpm.result&amp;"]")</f>
        <v>"Tier 57": [{"start": "2026-07-18", "end": "2026-07-18"},{"start": "2026-07-20", "end": "2026-07-20"},{"start": "2026-07-30", "end": "2026-07-30"}]</v>
      </c>
    </row>
    <row r="59" spans="1:27" x14ac:dyDescent="0.2">
      <c r="A59" s="3">
        <v>46126</v>
      </c>
      <c r="B59" s="2">
        <v>692.56</v>
      </c>
      <c r="C59">
        <f t="shared" si="0"/>
        <v>130</v>
      </c>
      <c r="D59">
        <v>621.37</v>
      </c>
      <c r="F59">
        <v>58</v>
      </c>
      <c r="G59" s="3" cm="1">
        <f t="array" ref="G59">TRANSPOSE(_xlfn._xlws.FILTER($A$2:$A$2000, $C$2:$C$2000=F59))</f>
        <v>46232</v>
      </c>
      <c r="AA59" t="str" cm="1">
        <f t="array" ref="AA59">_xlfn.LET(_xlpm.dates, _xlfn._xlws.FILTER(G59:Z59, G59:Z59&lt;&gt;""),_xlpm.sorted,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"&amp;F59&amp;""": ["&amp;_xlpm.result&amp;"]")</f>
        <v>"Tier 58": [{"start": "2026-07-29", "end": "2026-07-29"}]</v>
      </c>
    </row>
    <row r="60" spans="1:27" x14ac:dyDescent="0.2">
      <c r="A60" s="3">
        <v>46127</v>
      </c>
      <c r="B60" s="2">
        <v>698.65</v>
      </c>
      <c r="C60">
        <f t="shared" si="0"/>
        <v>142</v>
      </c>
      <c r="D60">
        <v>622.87</v>
      </c>
      <c r="F60">
        <v>59</v>
      </c>
      <c r="G60" s="3" cm="1">
        <f t="array" ref="G60:I60">TRANSPOSE(_xlfn._xlws.FILTER($A$2:$A$2000, $C$2:$C$2000=F60))</f>
        <v>46219</v>
      </c>
      <c r="H60" s="3">
        <v>46220</v>
      </c>
      <c r="I60" s="3">
        <v>46227</v>
      </c>
      <c r="AA60" t="str" cm="1">
        <f t="array" ref="AA60">_xlfn.LET(_xlpm.dates, _xlfn._xlws.FILTER(G60:Z60, G60:Z60&lt;&gt;""),_xlpm.sorted,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"&amp;F60&amp;""": ["&amp;_xlpm.result&amp;"]")</f>
        <v>"Tier 59": [{"start": "2026-07-16", "end": "2026-07-16"},{"start": "2026-07-17", "end": "2026-07-17"},{"start": "2026-07-24", "end": "2026-07-24"}]</v>
      </c>
    </row>
    <row r="61" spans="1:27" x14ac:dyDescent="0.2">
      <c r="A61" s="3">
        <v>46128</v>
      </c>
      <c r="B61" s="2">
        <v>702.44</v>
      </c>
      <c r="C61">
        <f t="shared" si="0"/>
        <v>148</v>
      </c>
      <c r="D61">
        <v>623.38</v>
      </c>
      <c r="F61">
        <v>60</v>
      </c>
      <c r="G61" s="3" cm="1">
        <f t="array" ref="G61">TRANSPOSE(_xlfn._xlws.FILTER($A$2:$A$2000, $C$2:$C$2000=F61))</f>
        <v>46215</v>
      </c>
      <c r="AA61" t="str" cm="1">
        <f t="array" ref="AA61">_xlfn.LET(_xlpm.dates, _xlfn._xlws.FILTER(G61:Z61, G61:Z61&lt;&gt;""),_xlpm.sorted,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"&amp;F61&amp;""": ["&amp;_xlpm.result&amp;"]")</f>
        <v>"Tier 60": [{"start": "2026-07-12", "end": "2026-07-12"}]</v>
      </c>
    </row>
    <row r="62" spans="1:27" x14ac:dyDescent="0.2">
      <c r="A62" s="3">
        <v>46129</v>
      </c>
      <c r="B62" s="2">
        <v>706.25</v>
      </c>
      <c r="C62">
        <f t="shared" si="0"/>
        <v>156</v>
      </c>
      <c r="D62">
        <v>625.17999999999995</v>
      </c>
      <c r="F62">
        <v>61</v>
      </c>
      <c r="G62" s="3" cm="1">
        <f t="array" ref="G62">TRANSPOSE(_xlfn._xlws.FILTER($A$2:$A$2000, $C$2:$C$2000=F62))</f>
        <v>46293</v>
      </c>
      <c r="AA62" t="str" cm="1">
        <f t="array" ref="AA62">_xlfn.LET(_xlpm.dates, _xlfn._xlws.FILTER(G62:Z62, G62:Z62&lt;&gt;""),_xlpm.sorted,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"&amp;F62&amp;""": ["&amp;_xlpm.result&amp;"]")</f>
        <v>"Tier 61": [{"start": "2026-09-28", "end": "2026-09-28"}]</v>
      </c>
    </row>
    <row r="63" spans="1:27" x14ac:dyDescent="0.2">
      <c r="A63" s="3">
        <v>46130</v>
      </c>
      <c r="B63" s="2">
        <v>700.16</v>
      </c>
      <c r="C63">
        <f t="shared" si="0"/>
        <v>144</v>
      </c>
      <c r="D63">
        <v>626.62</v>
      </c>
      <c r="F63">
        <v>62</v>
      </c>
      <c r="G63" s="3" cm="1">
        <f t="array" ref="G63:J63">TRANSPOSE(_xlfn._xlws.FILTER($A$2:$A$2000, $C$2:$C$2000=F63))</f>
        <v>46212</v>
      </c>
      <c r="H63" s="3">
        <v>46213</v>
      </c>
      <c r="I63" s="3">
        <v>46224</v>
      </c>
      <c r="J63" s="3">
        <v>46226</v>
      </c>
      <c r="AA63" t="str" cm="1">
        <f t="array" ref="AA63">_xlfn.LET(_xlpm.dates, _xlfn._xlws.FILTER(G63:Z63, G63:Z63&lt;&gt;""),_xlpm.sorted,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"&amp;F63&amp;""": ["&amp;_xlpm.result&amp;"]")</f>
        <v>"Tier 62": [{"start": "2026-07-09", "end": "2026-07-09"},{"start": "2026-07-10", "end": "2026-07-10"},{"start": "2026-07-21", "end": "2026-07-21"},{"start": "2026-07-23", "end": "2026-07-23"}]</v>
      </c>
    </row>
    <row r="64" spans="1:27" x14ac:dyDescent="0.2">
      <c r="A64" s="3">
        <v>46131</v>
      </c>
      <c r="B64" s="2">
        <v>694.08</v>
      </c>
      <c r="C64">
        <f t="shared" si="0"/>
        <v>134</v>
      </c>
      <c r="D64">
        <v>627.19000000000005</v>
      </c>
      <c r="F64">
        <v>63</v>
      </c>
      <c r="G64" s="3" cm="1">
        <f t="array" ref="G64">TRANSPOSE(_xlfn._xlws.FILTER($A$2:$A$2000, $C$2:$C$2000=F64))</f>
        <v>46216</v>
      </c>
      <c r="AA64" t="str" cm="1">
        <f t="array" ref="AA64">_xlfn.LET(_xlpm.dates, _xlfn._xlws.FILTER(G64:Z64, G64:Z64&lt;&gt;""),_xlpm.sorted,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"&amp;F64&amp;""": ["&amp;_xlpm.result&amp;"]")</f>
        <v>"Tier 63": [{"start": "2026-07-13", "end": "2026-07-13"}]</v>
      </c>
    </row>
    <row r="65" spans="1:27" x14ac:dyDescent="0.2">
      <c r="A65" s="3">
        <v>46132</v>
      </c>
      <c r="B65" s="2">
        <v>694.08</v>
      </c>
      <c r="C65">
        <f t="shared" si="0"/>
        <v>134</v>
      </c>
      <c r="D65">
        <v>630.37</v>
      </c>
      <c r="F65">
        <v>64</v>
      </c>
      <c r="G65" s="3" cm="1">
        <f t="array" ref="G65:H65">TRANSPOSE(_xlfn._xlws.FILTER($A$2:$A$2000, $C$2:$C$2000=F65))</f>
        <v>46211</v>
      </c>
      <c r="H65" s="3">
        <v>46225</v>
      </c>
      <c r="AA65" t="str" cm="1">
        <f t="array" ref="AA65">_xlfn.LET(_xlpm.dates, _xlfn._xlws.FILTER(G65:Z65, G65:Z65&lt;&gt;""),_xlpm.sorted,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"&amp;F65&amp;""": ["&amp;_xlpm.result&amp;"]")</f>
        <v>"Tier 64": [{"start": "2026-07-08", "end": "2026-07-08"},{"start": "2026-07-22", "end": "2026-07-22"}]</v>
      </c>
    </row>
    <row r="66" spans="1:27" x14ac:dyDescent="0.2">
      <c r="A66" s="3">
        <v>46133</v>
      </c>
      <c r="B66" s="2">
        <v>696.37</v>
      </c>
      <c r="C66">
        <f t="shared" si="0"/>
        <v>138</v>
      </c>
      <c r="D66">
        <v>630.98</v>
      </c>
      <c r="F66">
        <v>65</v>
      </c>
      <c r="G66" s="3" cm="1">
        <f t="array" ref="G66">TRANSPOSE(_xlfn._xlws.FILTER($A$2:$A$2000, $C$2:$C$2000=F66))</f>
        <v>46214</v>
      </c>
      <c r="AA66" t="str" cm="1">
        <f t="array" ref="AA66">_xlfn.LET(_xlpm.dates, _xlfn._xlws.FILTER(G66:Z66, G66:Z66&lt;&gt;""),_xlpm.sorted,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"&amp;F66&amp;""": ["&amp;_xlpm.result&amp;"]")</f>
        <v>"Tier 65": [{"start": "2026-07-11", "end": "2026-07-11"}]</v>
      </c>
    </row>
    <row r="67" spans="1:27" x14ac:dyDescent="0.2">
      <c r="A67" s="3">
        <v>46134</v>
      </c>
      <c r="B67" s="2">
        <v>698.65</v>
      </c>
      <c r="C67">
        <f t="shared" ref="C67:C130" si="1">MATCH(B67, $D$1:$D$195, 0)-1</f>
        <v>142</v>
      </c>
      <c r="D67">
        <v>634.78</v>
      </c>
      <c r="F67">
        <v>66</v>
      </c>
      <c r="G67" s="3" cm="1">
        <f t="array" ref="G67:H67">TRANSPOSE(_xlfn._xlws.FILTER($A$2:$A$2000, $C$2:$C$2000=F67))</f>
        <v>46217</v>
      </c>
      <c r="H67" s="3">
        <v>46218</v>
      </c>
      <c r="AA67" t="str" cm="1">
        <f t="array" ref="AA67">_xlfn.LET(_xlpm.dates, _xlfn._xlws.FILTER(G67:Z67, G67:Z67&lt;&gt;""),_xlpm.sorted,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"&amp;F67&amp;""": ["&amp;_xlpm.result&amp;"]")</f>
        <v>"Tier 66": [{"start": "2026-07-14", "end": "2026-07-14"},{"start": "2026-07-15", "end": "2026-07-15"}]</v>
      </c>
    </row>
    <row r="68" spans="1:27" x14ac:dyDescent="0.2">
      <c r="A68" s="3">
        <v>46135</v>
      </c>
      <c r="B68" s="2">
        <v>697.88</v>
      </c>
      <c r="C68">
        <f t="shared" si="1"/>
        <v>140</v>
      </c>
      <c r="D68">
        <v>638.6</v>
      </c>
      <c r="F68">
        <v>67</v>
      </c>
      <c r="G68" s="3" cm="1">
        <f t="array" ref="G68">TRANSPOSE(_xlfn._xlws.FILTER($A$2:$A$2000, $C$2:$C$2000=F68))</f>
        <v>46210</v>
      </c>
      <c r="AA68" t="str" cm="1">
        <f t="array" ref="AA68">_xlfn.LET(_xlpm.dates, _xlfn._xlws.FILTER(G68:Z68, G68:Z68&lt;&gt;""),_xlpm.sorted,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"&amp;F68&amp;""": ["&amp;_xlpm.result&amp;"]")</f>
        <v>"Tier 67": [{"start": "2026-07-07", "end": "2026-07-07"}]</v>
      </c>
    </row>
    <row r="69" spans="1:27" x14ac:dyDescent="0.2">
      <c r="A69" s="3">
        <v>46136</v>
      </c>
      <c r="B69" s="2">
        <v>693.31</v>
      </c>
      <c r="C69">
        <f t="shared" si="1"/>
        <v>132</v>
      </c>
      <c r="D69">
        <v>639.35</v>
      </c>
      <c r="F69">
        <v>68</v>
      </c>
      <c r="G69" s="3" cm="1">
        <f t="array" ref="G69">TRANSPOSE(_xlfn._xlws.FILTER($A$2:$A$2000, $C$2:$C$2000=F69))</f>
        <v>46209</v>
      </c>
      <c r="AA69" t="str" cm="1">
        <f t="array" ref="AA69">_xlfn.LET(_xlpm.dates, _xlfn._xlws.FILTER(G69:Z69, G69:Z69&lt;&gt;""),_xlpm.sorted,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"&amp;F69&amp;""": ["&amp;_xlpm.result&amp;"]")</f>
        <v>"Tier 68": [{"start": "2026-07-06", "end": "2026-07-06"}]</v>
      </c>
    </row>
    <row r="70" spans="1:27" x14ac:dyDescent="0.2">
      <c r="A70" s="3">
        <v>46137</v>
      </c>
      <c r="B70" s="2">
        <v>678.89</v>
      </c>
      <c r="C70">
        <f t="shared" si="1"/>
        <v>104</v>
      </c>
      <c r="D70">
        <v>644.66999999999996</v>
      </c>
      <c r="F70">
        <v>69</v>
      </c>
      <c r="G70" s="3" cm="1">
        <f t="array" ref="G70">TRANSPOSE(_xlfn._xlws.FILTER($A$2:$A$2000, $C$2:$C$2000=F70))</f>
        <v>46208</v>
      </c>
      <c r="AA70" t="str" cm="1">
        <f t="array" ref="AA70">_xlfn.LET(_xlpm.dates, _xlfn._xlws.FILTER(G70:Z70, G70:Z70&lt;&gt;""),_xlpm.sorted,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"&amp;F70&amp;""": ["&amp;_xlpm.result&amp;"]")</f>
        <v>"Tier 69": [{"start": "2026-07-05", "end": "2026-07-05"}]</v>
      </c>
    </row>
    <row r="71" spans="1:27" x14ac:dyDescent="0.2">
      <c r="A71" s="3">
        <v>46138</v>
      </c>
      <c r="B71" s="1">
        <v>668.23</v>
      </c>
      <c r="C71">
        <f t="shared" si="1"/>
        <v>87</v>
      </c>
      <c r="D71">
        <v>650.33000000000004</v>
      </c>
      <c r="F71">
        <v>70</v>
      </c>
      <c r="G71" s="3" cm="1">
        <f t="array" ref="G71">TRANSPOSE(_xlfn._xlws.FILTER($A$2:$A$2000, $C$2:$C$2000=F71))</f>
        <v>46294</v>
      </c>
      <c r="AA71" t="str" cm="1">
        <f t="array" ref="AA71">_xlfn.LET(_xlpm.dates, _xlfn._xlws.FILTER(G71:Z71, G71:Z71&lt;&gt;""),_xlpm.sorted,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"&amp;F71&amp;""": ["&amp;_xlpm.result&amp;"]")</f>
        <v>"Tier 70": [{"start": "2026-09-29", "end": "2026-09-29"}]</v>
      </c>
    </row>
    <row r="72" spans="1:27" x14ac:dyDescent="0.2">
      <c r="A72" s="3">
        <v>46139</v>
      </c>
      <c r="B72" s="1">
        <v>663.68</v>
      </c>
      <c r="C72">
        <f t="shared" si="1"/>
        <v>82</v>
      </c>
      <c r="D72">
        <v>652.14</v>
      </c>
      <c r="F72">
        <v>71</v>
      </c>
      <c r="G72" s="3" cm="1">
        <f t="array" ref="G72">TRANSPOSE(_xlfn._xlws.FILTER($A$2:$A$2000, $C$2:$C$2000=F72))</f>
        <v>46145</v>
      </c>
      <c r="AA72" t="str" cm="1">
        <f t="array" ref="AA72">_xlfn.LET(_xlpm.dates, _xlfn._xlws.FILTER(G72:Z72, G72:Z72&lt;&gt;""),_xlpm.sorted,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"&amp;F72&amp;""": ["&amp;_xlpm.result&amp;"]")</f>
        <v>"Tier 71": [{"start": "2026-05-03", "end": "2026-05-03"}]</v>
      </c>
    </row>
    <row r="73" spans="1:27" x14ac:dyDescent="0.2">
      <c r="A73" s="3">
        <v>46140</v>
      </c>
      <c r="B73" s="1">
        <v>669.75</v>
      </c>
      <c r="C73">
        <f t="shared" si="1"/>
        <v>90</v>
      </c>
      <c r="D73">
        <v>652.88</v>
      </c>
      <c r="F73">
        <v>72</v>
      </c>
      <c r="G73" s="3" cm="1">
        <f t="array" ref="G73:I73">TRANSPOSE(_xlfn._xlws.FILTER($A$2:$A$2000, $C$2:$C$2000=F73))</f>
        <v>46181</v>
      </c>
      <c r="H73" s="3">
        <v>46187</v>
      </c>
      <c r="I73" s="3">
        <v>46188</v>
      </c>
      <c r="AA73" t="str" cm="1">
        <f t="array" ref="AA73">_xlfn.LET(_xlpm.dates, _xlfn._xlws.FILTER(G73:Z73, G73:Z73&lt;&gt;""),_xlpm.sorted,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"&amp;F73&amp;""": ["&amp;_xlpm.result&amp;"]")</f>
        <v>"Tier 72": [{"start": "2026-06-08", "end": "2026-06-08"},{"start": "2026-06-14", "end": "2026-06-14"},{"start": "2026-06-15", "end": "2026-06-15"}]</v>
      </c>
    </row>
    <row r="74" spans="1:27" x14ac:dyDescent="0.2">
      <c r="A74" s="3">
        <v>46141</v>
      </c>
      <c r="B74" s="1">
        <v>663.41</v>
      </c>
      <c r="C74">
        <f t="shared" si="1"/>
        <v>81</v>
      </c>
      <c r="D74">
        <v>656.64</v>
      </c>
      <c r="F74">
        <v>73</v>
      </c>
      <c r="G74" s="3" cm="1">
        <f t="array" ref="G74">TRANSPOSE(_xlfn._xlws.FILTER($A$2:$A$2000, $C$2:$C$2000=F74))</f>
        <v>46179</v>
      </c>
      <c r="AA74" t="str" cm="1">
        <f t="array" ref="AA74">_xlfn.LET(_xlpm.dates, _xlfn._xlws.FILTER(G74:Z74, G74:Z74&lt;&gt;""),_xlpm.sorted,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"&amp;F74&amp;""": ["&amp;_xlpm.result&amp;"]")</f>
        <v>"Tier 73": [{"start": "2026-06-06", "end": "2026-06-06"}]</v>
      </c>
    </row>
    <row r="75" spans="1:27" x14ac:dyDescent="0.2">
      <c r="A75" s="3">
        <v>46142</v>
      </c>
      <c r="B75" s="1">
        <v>685.71</v>
      </c>
      <c r="C75">
        <f t="shared" si="1"/>
        <v>117</v>
      </c>
      <c r="D75">
        <v>657.39</v>
      </c>
      <c r="F75">
        <v>74</v>
      </c>
      <c r="G75" s="3" cm="1">
        <f t="array" ref="G75">TRANSPOSE(_xlfn._xlws.FILTER($A$2:$A$2000, $C$2:$C$2000=F75))</f>
        <v>46173</v>
      </c>
      <c r="AA75" t="str" cm="1">
        <f t="array" ref="AA75">_xlfn.LET(_xlpm.dates, _xlfn._xlws.FILTER(G75:Z75, G75:Z75&lt;&gt;""),_xlpm.sorted,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"&amp;F75&amp;""": ["&amp;_xlpm.result&amp;"]")</f>
        <v>"Tier 74": [{"start": "2026-05-31", "end": "2026-05-31"}]</v>
      </c>
    </row>
    <row r="76" spans="1:27" x14ac:dyDescent="0.2">
      <c r="A76" s="3">
        <v>46143</v>
      </c>
      <c r="B76" s="2">
        <v>679.16</v>
      </c>
      <c r="C76">
        <f t="shared" si="1"/>
        <v>105</v>
      </c>
      <c r="D76">
        <v>657.59</v>
      </c>
      <c r="F76">
        <v>75</v>
      </c>
      <c r="G76" s="3" cm="1">
        <f t="array" ref="G76">TRANSPOSE(_xlfn._xlws.FILTER($A$2:$A$2000, $C$2:$C$2000=F76))</f>
        <v>46207</v>
      </c>
      <c r="AA76" t="str" cm="1">
        <f t="array" ref="AA76">_xlfn.LET(_xlpm.dates, _xlfn._xlws.FILTER(G76:Z76, G76:Z76&lt;&gt;""),_xlpm.sorted,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"&amp;F76&amp;""": ["&amp;_xlpm.result&amp;"]")</f>
        <v>"Tier 75": [{"start": "2026-07-04", "end": "2026-07-04"}]</v>
      </c>
    </row>
    <row r="77" spans="1:27" x14ac:dyDescent="0.2">
      <c r="A77" s="3">
        <v>46144</v>
      </c>
      <c r="B77" s="2">
        <v>674.31</v>
      </c>
      <c r="C77">
        <f t="shared" si="1"/>
        <v>96</v>
      </c>
      <c r="D77">
        <v>658.36</v>
      </c>
      <c r="F77">
        <v>76</v>
      </c>
      <c r="G77" s="3" cm="1">
        <f t="array" ref="G77">TRANSPOSE(_xlfn._xlws.FILTER($A$2:$A$2000, $C$2:$C$2000=F77))</f>
        <v>46159</v>
      </c>
      <c r="AA77" t="str" cm="1">
        <f t="array" ref="AA77">_xlfn.LET(_xlpm.dates, _xlfn._xlws.FILTER(G77:Z77, G77:Z77&lt;&gt;""),_xlpm.sorted,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"&amp;F77&amp;""": ["&amp;_xlpm.result&amp;"]")</f>
        <v>"Tier 76": [{"start": "2026-05-17", "end": "2026-05-17"}]</v>
      </c>
    </row>
    <row r="78" spans="1:27" x14ac:dyDescent="0.2">
      <c r="A78" s="3">
        <v>46145</v>
      </c>
      <c r="B78" s="2">
        <v>652.14</v>
      </c>
      <c r="C78">
        <f t="shared" si="1"/>
        <v>71</v>
      </c>
      <c r="D78">
        <v>660.41</v>
      </c>
      <c r="F78">
        <v>77</v>
      </c>
      <c r="G78" s="3" cm="1">
        <f t="array" ref="G78:M78">TRANSPOSE(_xlfn._xlws.FILTER($A$2:$A$2000, $C$2:$C$2000=F78))</f>
        <v>46174</v>
      </c>
      <c r="H78" s="3">
        <v>46175</v>
      </c>
      <c r="I78" s="3">
        <v>46176</v>
      </c>
      <c r="J78" s="3">
        <v>46177</v>
      </c>
      <c r="K78" s="3">
        <v>46182</v>
      </c>
      <c r="L78" s="3">
        <v>46186</v>
      </c>
      <c r="M78" s="3">
        <v>46189</v>
      </c>
      <c r="AA78" t="str" cm="1">
        <f t="array" ref="AA78">_xlfn.LET(_xlpm.dates, _xlfn._xlws.FILTER(G78:Z78, G78:Z78&lt;&gt;""),_xlpm.sorted,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"&amp;F78&amp;""": ["&amp;_xlpm.result&amp;"]")</f>
        <v>"Tier 77": [{"start": "2026-06-01", "end": "2026-06-01"},{"start": "2026-06-02", "end": "2026-06-02"},{"start": "2026-06-03", "end": "2026-06-03"},{"start": "2026-06-04", "end": "2026-06-04"},{"start": "2026-06-09", "end": "2026-06-09"},{"start": "2026-06-13", "end": "2026-06-13"},{"start": "2026-06-16", "end": "2026-06-16"}]</v>
      </c>
    </row>
    <row r="79" spans="1:27" x14ac:dyDescent="0.2">
      <c r="A79" s="3">
        <v>46146</v>
      </c>
      <c r="B79" s="2">
        <v>668.23</v>
      </c>
      <c r="C79">
        <f t="shared" si="1"/>
        <v>87</v>
      </c>
      <c r="D79">
        <v>660.63</v>
      </c>
      <c r="F79">
        <v>78</v>
      </c>
      <c r="G79" s="3" cm="1">
        <f t="array" ref="G79:H79">TRANSPOSE(_xlfn._xlws.FILTER($A$2:$A$2000, $C$2:$C$2000=F79))</f>
        <v>46082</v>
      </c>
      <c r="H79" s="3">
        <v>46083</v>
      </c>
      <c r="AA79" t="str" cm="1">
        <f t="array" ref="AA79">_xlfn.LET(_xlpm.dates, _xlfn._xlws.FILTER(G79:Z79, G79:Z79&lt;&gt;""),_xlpm.sorted,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"&amp;F79&amp;""": ["&amp;_xlpm.result&amp;"]")</f>
        <v>"Tier 78": [{"start": "2026-03-01", "end": "2026-03-01"},{"start": "2026-03-02", "end": "2026-03-02"}]</v>
      </c>
    </row>
    <row r="80" spans="1:27" x14ac:dyDescent="0.2">
      <c r="A80" s="3">
        <v>46147</v>
      </c>
      <c r="B80" s="2">
        <v>668.23</v>
      </c>
      <c r="C80">
        <f t="shared" si="1"/>
        <v>87</v>
      </c>
      <c r="D80">
        <v>661.38</v>
      </c>
      <c r="F80">
        <v>79</v>
      </c>
      <c r="G80" s="3" cm="1">
        <f t="array" ref="G80">TRANSPOSE(_xlfn._xlws.FILTER($A$2:$A$2000, $C$2:$C$2000=F80))</f>
        <v>46180</v>
      </c>
      <c r="AA80" t="str" cm="1">
        <f t="array" ref="AA80">_xlfn.LET(_xlpm.dates, _xlfn._xlws.FILTER(G80:Z80, G80:Z80&lt;&gt;""),_xlpm.sorted,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"&amp;F80&amp;""": ["&amp;_xlpm.result&amp;"]")</f>
        <v>"Tier 79": [{"start": "2026-06-07", "end": "2026-06-07"}]</v>
      </c>
    </row>
    <row r="81" spans="1:27" x14ac:dyDescent="0.2">
      <c r="A81" s="3">
        <v>46148</v>
      </c>
      <c r="B81" s="2">
        <v>675.83</v>
      </c>
      <c r="C81">
        <f t="shared" si="1"/>
        <v>99</v>
      </c>
      <c r="D81">
        <v>661.89</v>
      </c>
      <c r="F81">
        <v>80</v>
      </c>
      <c r="G81" s="3" cm="1">
        <f t="array" ref="G81">TRANSPOSE(_xlfn._xlws.FILTER($A$2:$A$2000, $C$2:$C$2000=F81))</f>
        <v>46172</v>
      </c>
      <c r="AA81" t="str" cm="1">
        <f t="array" ref="AA81">_xlfn.LET(_xlpm.dates, _xlfn._xlws.FILTER(G81:Z81, G81:Z81&lt;&gt;""),_xlpm.sorted,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"&amp;F81&amp;""": ["&amp;_xlpm.result&amp;"]")</f>
        <v>"Tier 80": [{"start": "2026-05-30", "end": "2026-05-30"}]</v>
      </c>
    </row>
    <row r="82" spans="1:27" x14ac:dyDescent="0.2">
      <c r="A82" s="3">
        <v>46149</v>
      </c>
      <c r="B82" s="2">
        <v>687.24</v>
      </c>
      <c r="C82">
        <f t="shared" si="1"/>
        <v>120</v>
      </c>
      <c r="D82">
        <v>663.41</v>
      </c>
      <c r="F82">
        <v>81</v>
      </c>
      <c r="G82" s="3" cm="1">
        <f t="array" ref="G82">TRANSPOSE(_xlfn._xlws.FILTER($A$2:$A$2000, $C$2:$C$2000=F82))</f>
        <v>46141</v>
      </c>
      <c r="AA82" t="str" cm="1">
        <f t="array" ref="AA82">_xlfn.LET(_xlpm.dates, _xlfn._xlws.FILTER(G82:Z82, G82:Z82&lt;&gt;""),_xlpm.sorted,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"&amp;F82&amp;""": ["&amp;_xlpm.result&amp;"]")</f>
        <v>"Tier 81": [{"start": "2026-04-29", "end": "2026-04-29"}]</v>
      </c>
    </row>
    <row r="83" spans="1:27" x14ac:dyDescent="0.2">
      <c r="A83" s="3">
        <v>46150</v>
      </c>
      <c r="B83" s="2">
        <v>691.03</v>
      </c>
      <c r="C83">
        <f t="shared" si="1"/>
        <v>127</v>
      </c>
      <c r="D83">
        <v>663.68</v>
      </c>
      <c r="F83">
        <v>82</v>
      </c>
      <c r="G83" s="3" cm="1">
        <f t="array" ref="G83">TRANSPOSE(_xlfn._xlws.FILTER($A$2:$A$2000, $C$2:$C$2000=F83))</f>
        <v>46139</v>
      </c>
      <c r="AA83" t="str" cm="1">
        <f t="array" ref="AA83">_xlfn.LET(_xlpm.dates, _xlfn._xlws.FILTER(G83:Z83, G83:Z83&lt;&gt;""),_xlpm.sorted,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"&amp;F83&amp;""": ["&amp;_xlpm.result&amp;"]")</f>
        <v>"Tier 82": [{"start": "2026-04-27", "end": "2026-04-27"}]</v>
      </c>
    </row>
    <row r="84" spans="1:27" x14ac:dyDescent="0.2">
      <c r="A84" s="3">
        <v>46151</v>
      </c>
      <c r="B84" s="2">
        <v>681.16</v>
      </c>
      <c r="C84">
        <f t="shared" si="1"/>
        <v>109</v>
      </c>
      <c r="D84">
        <v>664.14</v>
      </c>
      <c r="F84">
        <v>83</v>
      </c>
      <c r="G84" s="3" cm="1">
        <f t="array" ref="G84:L84">TRANSPOSE(_xlfn._xlws.FILTER($A$2:$A$2000, $C$2:$C$2000=F84))</f>
        <v>46183</v>
      </c>
      <c r="H84" s="3">
        <v>46184</v>
      </c>
      <c r="I84" s="3">
        <v>46185</v>
      </c>
      <c r="J84" s="3">
        <v>46190</v>
      </c>
      <c r="K84" s="3">
        <v>46193</v>
      </c>
      <c r="L84" s="3">
        <v>46194</v>
      </c>
      <c r="AA84" t="str" cm="1">
        <f t="array" ref="AA84">_xlfn.LET(_xlpm.dates, _xlfn._xlws.FILTER(G84:Z84, G84:Z84&lt;&gt;""),_xlpm.sorted,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"&amp;F84&amp;""": ["&amp;_xlpm.result&amp;"]")</f>
        <v>"Tier 83": [{"start": "2026-06-10", "end": "2026-06-10"},{"start": "2026-06-11", "end": "2026-06-11"},{"start": "2026-06-12", "end": "2026-06-12"},{"start": "2026-06-17", "end": "2026-06-17"},{"start": "2026-06-20", "end": "2026-06-20"},{"start": "2026-06-21", "end": "2026-06-21"}]</v>
      </c>
    </row>
    <row r="85" spans="1:27" x14ac:dyDescent="0.2">
      <c r="A85" s="3">
        <v>46152</v>
      </c>
      <c r="B85" s="2">
        <v>671.28</v>
      </c>
      <c r="C85">
        <f t="shared" si="1"/>
        <v>92</v>
      </c>
      <c r="D85">
        <v>664.43</v>
      </c>
      <c r="F85">
        <v>84</v>
      </c>
      <c r="G85" s="3" cm="1">
        <f t="array" ref="G85">TRANSPOSE(_xlfn._xlws.FILTER($A$2:$A$2000, $C$2:$C$2000=F85))</f>
        <v>46160</v>
      </c>
      <c r="AA85" t="str" cm="1">
        <f t="array" ref="AA85">_xlfn.LET(_xlpm.dates, _xlfn._xlws.FILTER(G85:Z85, G85:Z85&lt;&gt;""),_xlpm.sorted,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"&amp;F85&amp;""": ["&amp;_xlpm.result&amp;"]")</f>
        <v>"Tier 84": [{"start": "2026-05-18", "end": "2026-05-18"}]</v>
      </c>
    </row>
    <row r="86" spans="1:27" x14ac:dyDescent="0.2">
      <c r="A86" s="3">
        <v>46153</v>
      </c>
      <c r="B86" s="2">
        <v>669.75</v>
      </c>
      <c r="C86">
        <f t="shared" si="1"/>
        <v>90</v>
      </c>
      <c r="D86">
        <v>666.71</v>
      </c>
      <c r="F86">
        <v>85</v>
      </c>
      <c r="G86" s="3" cm="1">
        <f t="array" ref="G86:H86">TRANSPOSE(_xlfn._xlws.FILTER($A$2:$A$2000, $C$2:$C$2000=F86))</f>
        <v>46084</v>
      </c>
      <c r="H86" s="3">
        <v>46158</v>
      </c>
      <c r="AA86" t="str" cm="1">
        <f t="array" ref="AA86">_xlfn.LET(_xlpm.dates, _xlfn._xlws.FILTER(G86:Z86, G86:Z86&lt;&gt;""),_xlpm.sorted,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"&amp;F86&amp;""": ["&amp;_xlpm.result&amp;"]")</f>
        <v>"Tier 85": [{"start": "2026-03-03", "end": "2026-03-03"},{"start": "2026-05-16", "end": "2026-05-16"}]</v>
      </c>
    </row>
    <row r="87" spans="1:27" x14ac:dyDescent="0.2">
      <c r="A87" s="3">
        <v>46154</v>
      </c>
      <c r="B87" s="2">
        <v>674.31</v>
      </c>
      <c r="C87">
        <f t="shared" si="1"/>
        <v>96</v>
      </c>
      <c r="D87">
        <v>667.89</v>
      </c>
      <c r="F87">
        <v>86</v>
      </c>
      <c r="G87" s="3" cm="1">
        <f t="array" ref="G87:H87">TRANSPOSE(_xlfn._xlws.FILTER($A$2:$A$2000, $C$2:$C$2000=F87))</f>
        <v>46191</v>
      </c>
      <c r="H87" s="3">
        <v>46192</v>
      </c>
      <c r="AA87" t="str" cm="1">
        <f t="array" ref="AA87">_xlfn.LET(_xlpm.dates, _xlfn._xlws.FILTER(G87:Z87, G87:Z87&lt;&gt;""),_xlpm.sorted,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"&amp;F87&amp;""": ["&amp;_xlpm.result&amp;"]")</f>
        <v>"Tier 86": [{"start": "2026-06-18", "end": "2026-06-18"},{"start": "2026-06-19", "end": "2026-06-19"}]</v>
      </c>
    </row>
    <row r="88" spans="1:27" x14ac:dyDescent="0.2">
      <c r="A88" s="3">
        <v>46155</v>
      </c>
      <c r="B88" s="2">
        <v>678.89</v>
      </c>
      <c r="C88">
        <f t="shared" si="1"/>
        <v>104</v>
      </c>
      <c r="D88">
        <v>668.23</v>
      </c>
      <c r="F88">
        <v>87</v>
      </c>
      <c r="G88" s="3" cm="1">
        <f t="array" ref="G88:I88">TRANSPOSE(_xlfn._xlws.FILTER($A$2:$A$2000, $C$2:$C$2000=F88))</f>
        <v>46138</v>
      </c>
      <c r="H88" s="3">
        <v>46146</v>
      </c>
      <c r="I88" s="3">
        <v>46147</v>
      </c>
      <c r="AA88" t="str" cm="1">
        <f t="array" ref="AA88">_xlfn.LET(_xlpm.dates, _xlfn._xlws.FILTER(G88:Z88, G88:Z88&lt;&gt;""),_xlpm.sorted,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"&amp;F88&amp;""": ["&amp;_xlpm.result&amp;"]")</f>
        <v>"Tier 87": [{"start": "2026-04-26", "end": "2026-04-26"},{"start": "2026-05-04", "end": "2026-05-04"},{"start": "2026-05-05", "end": "2026-05-05"}]</v>
      </c>
    </row>
    <row r="89" spans="1:27" x14ac:dyDescent="0.2">
      <c r="A89" s="3">
        <v>46156</v>
      </c>
      <c r="B89" s="2">
        <v>675.08</v>
      </c>
      <c r="C89">
        <f t="shared" si="1"/>
        <v>97</v>
      </c>
      <c r="D89">
        <v>668.64</v>
      </c>
      <c r="F89">
        <v>88</v>
      </c>
      <c r="G89" s="3" cm="1">
        <f t="array" ref="G89">TRANSPOSE(_xlfn._xlws.FILTER($A$2:$A$2000, $C$2:$C$2000=F89))</f>
        <v>46195</v>
      </c>
      <c r="AA89" t="str" cm="1">
        <f t="array" ref="AA89">_xlfn.LET(_xlpm.dates, _xlfn._xlws.FILTER(G89:Z89, G89:Z89&lt;&gt;""),_xlpm.sorted,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"&amp;F89&amp;""": ["&amp;_xlpm.result&amp;"]")</f>
        <v>"Tier 88": [{"start": "2026-06-22", "end": "2026-06-22"}]</v>
      </c>
    </row>
    <row r="90" spans="1:27" x14ac:dyDescent="0.2">
      <c r="A90" s="3">
        <v>46157</v>
      </c>
      <c r="B90" s="2">
        <v>675.08</v>
      </c>
      <c r="C90">
        <f t="shared" si="1"/>
        <v>97</v>
      </c>
      <c r="D90">
        <v>668.98</v>
      </c>
      <c r="F90">
        <v>89</v>
      </c>
      <c r="G90" s="3" cm="1">
        <f t="array" ref="G90">TRANSPOSE(_xlfn._xlws.FILTER($A$2:$A$2000, $C$2:$C$2000=F90))</f>
        <v>46178</v>
      </c>
      <c r="AA90" t="str" cm="1">
        <f t="array" ref="AA90">_xlfn.LET(_xlpm.dates, _xlfn._xlws.FILTER(G90:Z90, G90:Z90&lt;&gt;""),_xlpm.sorted,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"&amp;F90&amp;""": ["&amp;_xlpm.result&amp;"]")</f>
        <v>"Tier 89": [{"start": "2026-06-05", "end": "2026-06-05"}]</v>
      </c>
    </row>
    <row r="91" spans="1:27" x14ac:dyDescent="0.2">
      <c r="A91" s="3">
        <v>46158</v>
      </c>
      <c r="B91" s="2">
        <v>666.71</v>
      </c>
      <c r="C91">
        <f t="shared" si="1"/>
        <v>85</v>
      </c>
      <c r="D91">
        <v>669.75</v>
      </c>
      <c r="F91">
        <v>90</v>
      </c>
      <c r="G91" s="3" cm="1">
        <f t="array" ref="G91:H91">TRANSPOSE(_xlfn._xlws.FILTER($A$2:$A$2000, $C$2:$C$2000=F91))</f>
        <v>46140</v>
      </c>
      <c r="H91" s="3">
        <v>46153</v>
      </c>
      <c r="AA91" t="str" cm="1">
        <f t="array" ref="AA91">_xlfn.LET(_xlpm.dates, _xlfn._xlws.FILTER(G91:Z91, G91:Z91&lt;&gt;""),_xlpm.sorted,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"&amp;F91&amp;""": ["&amp;_xlpm.result&amp;"]")</f>
        <v>"Tier 90": [{"start": "2026-04-28", "end": "2026-04-28"},{"start": "2026-05-11", "end": "2026-05-11"}]</v>
      </c>
    </row>
    <row r="92" spans="1:27" x14ac:dyDescent="0.2">
      <c r="A92" s="3">
        <v>46159</v>
      </c>
      <c r="B92" s="2">
        <v>658.36</v>
      </c>
      <c r="C92">
        <f t="shared" si="1"/>
        <v>76</v>
      </c>
      <c r="D92">
        <v>670.5</v>
      </c>
      <c r="F92">
        <v>91</v>
      </c>
      <c r="G92" s="3" cm="1">
        <f t="array" ref="G92">TRANSPOSE(_xlfn._xlws.FILTER($A$2:$A$2000, $C$2:$C$2000=F92))</f>
        <v>46206</v>
      </c>
      <c r="AA92" t="str" cm="1">
        <f t="array" ref="AA92">_xlfn.LET(_xlpm.dates, _xlfn._xlws.FILTER(G92:Z92, G92:Z92&lt;&gt;""),_xlpm.sorted,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"&amp;F92&amp;""": ["&amp;_xlpm.result&amp;"]")</f>
        <v>"Tier 91": [{"start": "2026-07-03", "end": "2026-07-03"}]</v>
      </c>
    </row>
    <row r="93" spans="1:27" x14ac:dyDescent="0.2">
      <c r="A93" s="3">
        <v>46160</v>
      </c>
      <c r="B93" s="2">
        <v>664.43</v>
      </c>
      <c r="C93">
        <f t="shared" si="1"/>
        <v>84</v>
      </c>
      <c r="D93">
        <v>671.28</v>
      </c>
      <c r="F93">
        <v>92</v>
      </c>
      <c r="G93" s="3" cm="1">
        <f t="array" ref="G93">TRANSPOSE(_xlfn._xlws.FILTER($A$2:$A$2000, $C$2:$C$2000=F93))</f>
        <v>46152</v>
      </c>
      <c r="AA93" t="str" cm="1">
        <f t="array" ref="AA93">_xlfn.LET(_xlpm.dates, _xlfn._xlws.FILTER(G93:Z93, G93:Z93&lt;&gt;""),_xlpm.sorted,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"&amp;F93&amp;""": ["&amp;_xlpm.result&amp;"]")</f>
        <v>"Tier 92": [{"start": "2026-05-10", "end": "2026-05-10"}]</v>
      </c>
    </row>
    <row r="94" spans="1:27" x14ac:dyDescent="0.2">
      <c r="A94" s="3">
        <v>46161</v>
      </c>
      <c r="B94" s="2">
        <v>678.89</v>
      </c>
      <c r="C94">
        <f t="shared" si="1"/>
        <v>104</v>
      </c>
      <c r="D94">
        <v>672.52</v>
      </c>
      <c r="F94">
        <v>93</v>
      </c>
      <c r="G94" s="3" cm="1">
        <f t="array" ref="G94">TRANSPOSE(_xlfn._xlws.FILTER($A$2:$A$2000, $C$2:$C$2000=F94))</f>
        <v>46295</v>
      </c>
      <c r="AA94" t="str" cm="1">
        <f t="array" ref="AA94">_xlfn.LET(_xlpm.dates, _xlfn._xlws.FILTER(G94:Z94, G94:Z94&lt;&gt;""),_xlpm.sorted,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"&amp;F94&amp;""": ["&amp;_xlpm.result&amp;"]")</f>
        <v>"Tier 93": [{"start": "2026-09-30", "end": "2026-09-30"}]</v>
      </c>
    </row>
    <row r="95" spans="1:27" x14ac:dyDescent="0.2">
      <c r="A95" s="3">
        <v>46162</v>
      </c>
      <c r="B95" s="2">
        <v>689.51</v>
      </c>
      <c r="C95">
        <f t="shared" si="1"/>
        <v>124</v>
      </c>
      <c r="D95">
        <v>673.16</v>
      </c>
      <c r="F95">
        <v>94</v>
      </c>
      <c r="G95" s="3" cm="1">
        <f t="array" ref="G95">TRANSPOSE(_xlfn._xlws.FILTER($A$2:$A$2000, $C$2:$C$2000=F95))</f>
        <v>46196</v>
      </c>
      <c r="AA95" t="str" cm="1">
        <f t="array" ref="AA95">_xlfn.LET(_xlpm.dates, _xlfn._xlws.FILTER(G95:Z95, G95:Z95&lt;&gt;""),_xlpm.sorted,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"&amp;F95&amp;""": ["&amp;_xlpm.result&amp;"]")</f>
        <v>"Tier 94": [{"start": "2026-06-23", "end": "2026-06-23"}]</v>
      </c>
    </row>
    <row r="96" spans="1:27" x14ac:dyDescent="0.2">
      <c r="A96" s="3">
        <v>46163</v>
      </c>
      <c r="B96" s="2">
        <v>697.88</v>
      </c>
      <c r="C96">
        <f t="shared" si="1"/>
        <v>140</v>
      </c>
      <c r="D96">
        <v>673.29</v>
      </c>
      <c r="F96">
        <v>95</v>
      </c>
      <c r="G96" s="3" cm="1">
        <f t="array" ref="G96">TRANSPOSE(_xlfn._xlws.FILTER($A$2:$A$2000, $C$2:$C$2000=F96))</f>
        <v>46320</v>
      </c>
      <c r="AA96" t="str" cm="1">
        <f t="array" ref="AA96">_xlfn.LET(_xlpm.dates, _xlfn._xlws.FILTER(G96:Z96, G96:Z96&lt;&gt;""),_xlpm.sorted,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"&amp;F96&amp;""": ["&amp;_xlpm.result&amp;"]")</f>
        <v>"Tier 95": [{"start": "2026-10-25", "end": "2026-10-25"}]</v>
      </c>
    </row>
    <row r="97" spans="1:27" x14ac:dyDescent="0.2">
      <c r="A97" s="3">
        <v>46164</v>
      </c>
      <c r="B97" s="2">
        <v>705.47</v>
      </c>
      <c r="C97">
        <f t="shared" si="1"/>
        <v>154</v>
      </c>
      <c r="D97">
        <v>674.31</v>
      </c>
      <c r="F97">
        <v>96</v>
      </c>
      <c r="G97" s="3" cm="1">
        <f t="array" ref="G97:I97">TRANSPOSE(_xlfn._xlws.FILTER($A$2:$A$2000, $C$2:$C$2000=F97))</f>
        <v>46144</v>
      </c>
      <c r="H97" s="3">
        <v>46154</v>
      </c>
      <c r="I97" s="3">
        <v>46202</v>
      </c>
      <c r="AA97" t="str" cm="1">
        <f t="array" ref="AA97">_xlfn.LET(_xlpm.dates, _xlfn._xlws.FILTER(G97:Z97, G97:Z97&lt;&gt;""),_xlpm.sorted,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"&amp;F97&amp;""": ["&amp;_xlpm.result&amp;"]")</f>
        <v>"Tier 96": [{"start": "2026-05-02", "end": "2026-05-02"},{"start": "2026-05-12", "end": "2026-05-12"},{"start": "2026-06-29", "end": "2026-06-29"}]</v>
      </c>
    </row>
    <row r="98" spans="1:27" x14ac:dyDescent="0.2">
      <c r="A98" s="3">
        <v>46165</v>
      </c>
      <c r="B98" s="2">
        <v>702.44</v>
      </c>
      <c r="C98">
        <f t="shared" si="1"/>
        <v>148</v>
      </c>
      <c r="D98">
        <v>675.08</v>
      </c>
      <c r="F98">
        <v>97</v>
      </c>
      <c r="G98" s="3" cm="1">
        <f t="array" ref="G98:I98">TRANSPOSE(_xlfn._xlws.FILTER($A$2:$A$2000, $C$2:$C$2000=F98))</f>
        <v>46156</v>
      </c>
      <c r="H98" s="3">
        <v>46157</v>
      </c>
      <c r="I98" s="3">
        <v>46201</v>
      </c>
      <c r="AA98" t="str" cm="1">
        <f t="array" ref="AA98">_xlfn.LET(_xlpm.dates, _xlfn._xlws.FILTER(G98:Z98, G98:Z98&lt;&gt;""),_xlpm.sorted,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"&amp;F98&amp;""": ["&amp;_xlpm.result&amp;"]")</f>
        <v>"Tier 97": [{"start": "2026-05-14", "end": "2026-05-14"},{"start": "2026-05-15", "end": "2026-05-15"},{"start": "2026-06-28", "end": "2026-06-28"}]</v>
      </c>
    </row>
    <row r="99" spans="1:27" x14ac:dyDescent="0.2">
      <c r="A99" s="3">
        <v>46166</v>
      </c>
      <c r="B99" s="2">
        <v>699.4</v>
      </c>
      <c r="C99">
        <f t="shared" si="1"/>
        <v>143</v>
      </c>
      <c r="D99">
        <v>675.58</v>
      </c>
      <c r="F99">
        <v>98</v>
      </c>
      <c r="G99" s="3" cm="1">
        <f t="array" ref="G99">TRANSPOSE(_xlfn._xlws.FILTER($A$2:$A$2000, $C$2:$C$2000=F99))</f>
        <v>46327</v>
      </c>
      <c r="AA99" t="str" cm="1">
        <f t="array" ref="AA99">_xlfn.LET(_xlpm.dates, _xlfn._xlws.FILTER(G99:Z99, G99:Z99&lt;&gt;""),_xlpm.sorted,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"&amp;F99&amp;""": ["&amp;_xlpm.result&amp;"]")</f>
        <v>"Tier 98": [{"start": "2026-11-01", "end": "2026-11-01"}]</v>
      </c>
    </row>
    <row r="100" spans="1:27" x14ac:dyDescent="0.2">
      <c r="A100" s="3">
        <v>46167</v>
      </c>
      <c r="B100" s="2">
        <v>696.37</v>
      </c>
      <c r="C100">
        <f t="shared" si="1"/>
        <v>138</v>
      </c>
      <c r="D100">
        <v>675.83</v>
      </c>
      <c r="F100">
        <v>99</v>
      </c>
      <c r="G100" s="3" cm="1">
        <f t="array" ref="G100">TRANSPOSE(_xlfn._xlws.FILTER($A$2:$A$2000, $C$2:$C$2000=F100))</f>
        <v>46148</v>
      </c>
      <c r="AA100" t="str" cm="1">
        <f t="array" ref="AA100">_xlfn.LET(_xlpm.dates, _xlfn._xlws.FILTER(G100:Z100, G100:Z100&lt;&gt;""),_xlpm.sorted,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"&amp;F100&amp;""": ["&amp;_xlpm.result&amp;"]")</f>
        <v>"Tier 99": [{"start": "2026-05-06", "end": "2026-05-06"}]</v>
      </c>
    </row>
    <row r="101" spans="1:27" x14ac:dyDescent="0.2">
      <c r="A101" s="3">
        <v>46168</v>
      </c>
      <c r="B101" s="2">
        <v>692.56</v>
      </c>
      <c r="C101">
        <f t="shared" si="1"/>
        <v>130</v>
      </c>
      <c r="D101">
        <v>676.36</v>
      </c>
      <c r="F101">
        <v>100</v>
      </c>
      <c r="G101" s="3" cm="1">
        <f t="array" ref="G101">TRANSPOSE(_xlfn._xlws.FILTER($A$2:$A$2000, $C$2:$C$2000=F101))</f>
        <v>46081</v>
      </c>
      <c r="AA101" t="str" cm="1">
        <f t="array" ref="AA101">_xlfn.LET(_xlpm.dates, _xlfn._xlws.FILTER(G101:Z101, G101:Z101&lt;&gt;""),_xlpm.sorted,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"&amp;F101&amp;""": ["&amp;_xlpm.result&amp;"]")</f>
        <v>"Tier 100": [{"start": "2026-02-28", "end": "2026-02-28"}]</v>
      </c>
    </row>
    <row r="102" spans="1:27" x14ac:dyDescent="0.2">
      <c r="A102" s="3">
        <v>46169</v>
      </c>
      <c r="B102" s="2">
        <v>685.71</v>
      </c>
      <c r="C102">
        <f t="shared" si="1"/>
        <v>117</v>
      </c>
      <c r="D102">
        <v>676.6</v>
      </c>
      <c r="F102">
        <v>101</v>
      </c>
      <c r="G102" s="3" cm="1">
        <f t="array" ref="G102">TRANSPOSE(_xlfn._xlws.FILTER($A$2:$A$2000, $C$2:$C$2000=F102))</f>
        <v>46205</v>
      </c>
      <c r="AA102" t="str" cm="1">
        <f t="array" ref="AA102">_xlfn.LET(_xlpm.dates, _xlfn._xlws.FILTER(G102:Z102, G102:Z102&lt;&gt;""),_xlpm.sorted,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"&amp;F102&amp;""": ["&amp;_xlpm.result&amp;"]")</f>
        <v>"Tier 101": [{"start": "2026-07-02", "end": "2026-07-02"}]</v>
      </c>
    </row>
    <row r="103" spans="1:27" x14ac:dyDescent="0.2">
      <c r="A103" s="3">
        <v>46170</v>
      </c>
      <c r="B103" s="2">
        <v>681.92</v>
      </c>
      <c r="C103">
        <f t="shared" si="1"/>
        <v>111</v>
      </c>
      <c r="D103">
        <v>677.36</v>
      </c>
      <c r="F103">
        <v>102</v>
      </c>
      <c r="G103" s="3" cm="1">
        <f t="array" ref="G103">TRANSPOSE(_xlfn._xlws.FILTER($A$2:$A$2000, $C$2:$C$2000=F103))</f>
        <v>46204</v>
      </c>
      <c r="AA103" t="str" cm="1">
        <f t="array" ref="AA103">_xlfn.LET(_xlpm.dates, _xlfn._xlws.FILTER(G103:Z103, G103:Z103&lt;&gt;""),_xlpm.sorted,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"&amp;F103&amp;""": ["&amp;_xlpm.result&amp;"]")</f>
        <v>"Tier 102": [{"start": "2026-07-01", "end": "2026-07-01"}]</v>
      </c>
    </row>
    <row r="104" spans="1:27" x14ac:dyDescent="0.2">
      <c r="A104" s="3">
        <v>46171</v>
      </c>
      <c r="B104" s="2">
        <v>678.11</v>
      </c>
      <c r="C104">
        <f t="shared" si="1"/>
        <v>103</v>
      </c>
      <c r="D104">
        <v>678.11</v>
      </c>
      <c r="F104">
        <v>103</v>
      </c>
      <c r="G104" s="3" cm="1">
        <f t="array" ref="G104:H104">TRANSPOSE(_xlfn._xlws.FILTER($A$2:$A$2000, $C$2:$C$2000=F104))</f>
        <v>46171</v>
      </c>
      <c r="H104" s="3">
        <v>46203</v>
      </c>
      <c r="AA104" t="str" cm="1">
        <f t="array" ref="AA104">_xlfn.LET(_xlpm.dates, _xlfn._xlws.FILTER(G104:Z104, G104:Z104&lt;&gt;""),_xlpm.sorted,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"&amp;F104&amp;""": ["&amp;_xlpm.result&amp;"]")</f>
        <v>"Tier 103": [{"start": "2026-05-29", "end": "2026-05-29"},{"start": "2026-06-30", "end": "2026-06-30"}]</v>
      </c>
    </row>
    <row r="105" spans="1:27" x14ac:dyDescent="0.2">
      <c r="A105" s="3">
        <v>46172</v>
      </c>
      <c r="B105" s="2">
        <v>661.89</v>
      </c>
      <c r="C105">
        <f t="shared" si="1"/>
        <v>80</v>
      </c>
      <c r="D105">
        <v>678.89</v>
      </c>
      <c r="F105">
        <v>104</v>
      </c>
      <c r="G105" s="3" cm="1">
        <f t="array" ref="G105:I105">TRANSPOSE(_xlfn._xlws.FILTER($A$2:$A$2000, $C$2:$C$2000=F105))</f>
        <v>46137</v>
      </c>
      <c r="H105" s="3">
        <v>46155</v>
      </c>
      <c r="I105" s="3">
        <v>46161</v>
      </c>
      <c r="AA105" t="str" cm="1">
        <f t="array" ref="AA105">_xlfn.LET(_xlpm.dates, _xlfn._xlws.FILTER(G105:Z105, G105:Z105&lt;&gt;""),_xlpm.sorted,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"&amp;F105&amp;""": ["&amp;_xlpm.result&amp;"]")</f>
        <v>"Tier 104": [{"start": "2026-04-25", "end": "2026-04-25"},{"start": "2026-05-13", "end": "2026-05-13"},{"start": "2026-05-19", "end": "2026-05-19"}]</v>
      </c>
    </row>
    <row r="106" spans="1:27" x14ac:dyDescent="0.2">
      <c r="A106" s="3">
        <v>46173</v>
      </c>
      <c r="B106" s="1">
        <v>657.39</v>
      </c>
      <c r="C106">
        <f t="shared" si="1"/>
        <v>74</v>
      </c>
      <c r="D106">
        <v>679.16</v>
      </c>
      <c r="F106">
        <v>105</v>
      </c>
      <c r="G106" s="3" cm="1">
        <f t="array" ref="G106">TRANSPOSE(_xlfn._xlws.FILTER($A$2:$A$2000, $C$2:$C$2000=F106))</f>
        <v>46143</v>
      </c>
      <c r="AA106" t="str" cm="1">
        <f t="array" ref="AA106">_xlfn.LET(_xlpm.dates, _xlfn._xlws.FILTER(G106:Z106, G106:Z106&lt;&gt;""),_xlpm.sorted,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"&amp;F106&amp;""": ["&amp;_xlpm.result&amp;"]")</f>
        <v>"Tier 105": [{"start": "2026-05-01", "end": "2026-05-01"}]</v>
      </c>
    </row>
    <row r="107" spans="1:27" x14ac:dyDescent="0.2">
      <c r="A107" s="3">
        <v>46174</v>
      </c>
      <c r="B107" s="2">
        <v>660.41</v>
      </c>
      <c r="C107">
        <f t="shared" si="1"/>
        <v>77</v>
      </c>
      <c r="D107">
        <v>679.42</v>
      </c>
      <c r="F107">
        <v>106</v>
      </c>
      <c r="G107" s="3" cm="1">
        <f t="array" ref="G107">TRANSPOSE(_xlfn._xlws.FILTER($A$2:$A$2000, $C$2:$C$2000=F107))</f>
        <v>46328</v>
      </c>
      <c r="AA107" t="str" cm="1">
        <f t="array" ref="AA107">_xlfn.LET(_xlpm.dates, _xlfn._xlws.FILTER(G107:Z107, G107:Z107&lt;&gt;""),_xlpm.sorted,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"&amp;F107&amp;""": ["&amp;_xlpm.result&amp;"]")</f>
        <v>"Tier 106": [{"start": "2026-11-02", "end": "2026-11-02"}]</v>
      </c>
    </row>
    <row r="108" spans="1:27" x14ac:dyDescent="0.2">
      <c r="A108" s="3">
        <v>46175</v>
      </c>
      <c r="B108" s="2">
        <v>660.41</v>
      </c>
      <c r="C108">
        <f t="shared" si="1"/>
        <v>77</v>
      </c>
      <c r="D108">
        <v>680.18</v>
      </c>
      <c r="F108">
        <v>107</v>
      </c>
      <c r="G108" s="3" cm="1">
        <f t="array" ref="G108:I108">TRANSPOSE(_xlfn._xlws.FILTER($A$2:$A$2000, $C$2:$C$2000=F108))</f>
        <v>46296</v>
      </c>
      <c r="H108" s="3">
        <v>46319</v>
      </c>
      <c r="I108" s="3">
        <v>46321</v>
      </c>
      <c r="AA108" t="str" cm="1">
        <f t="array" ref="AA108">_xlfn.LET(_xlpm.dates, _xlfn._xlws.FILTER(G108:Z108, G108:Z108&lt;&gt;""),_xlpm.sorted,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"&amp;F108&amp;""": ["&amp;_xlpm.result&amp;"]")</f>
        <v>"Tier 107": [{"start": "2026-10-01", "end": "2026-10-01"},{"start": "2026-10-24", "end": "2026-10-24"},{"start": "2026-10-26", "end": "2026-10-26"}]</v>
      </c>
    </row>
    <row r="109" spans="1:27" x14ac:dyDescent="0.2">
      <c r="A109" s="3">
        <v>46176</v>
      </c>
      <c r="B109" s="2">
        <v>660.41</v>
      </c>
      <c r="C109">
        <f t="shared" si="1"/>
        <v>77</v>
      </c>
      <c r="D109">
        <v>680.39</v>
      </c>
      <c r="F109">
        <v>108</v>
      </c>
      <c r="G109" s="3" cm="1">
        <f t="array" ref="G109">TRANSPOSE(_xlfn._xlws.FILTER($A$2:$A$2000, $C$2:$C$2000=F109))</f>
        <v>46085</v>
      </c>
      <c r="AA109" t="str" cm="1">
        <f t="array" ref="AA109">_xlfn.LET(_xlpm.dates, _xlfn._xlws.FILTER(G109:Z109, G109:Z109&lt;&gt;""),_xlpm.sorted,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"&amp;F109&amp;""": ["&amp;_xlpm.result&amp;"]")</f>
        <v>"Tier 108": [{"start": "2026-03-04", "end": "2026-03-04"}]</v>
      </c>
    </row>
    <row r="110" spans="1:27" x14ac:dyDescent="0.2">
      <c r="A110" s="3">
        <v>46177</v>
      </c>
      <c r="B110" s="2">
        <v>660.41</v>
      </c>
      <c r="C110">
        <f t="shared" si="1"/>
        <v>77</v>
      </c>
      <c r="D110">
        <v>681.16</v>
      </c>
      <c r="F110">
        <v>109</v>
      </c>
      <c r="G110" s="3" cm="1">
        <f t="array" ref="G110">TRANSPOSE(_xlfn._xlws.FILTER($A$2:$A$2000, $C$2:$C$2000=F110))</f>
        <v>46151</v>
      </c>
      <c r="AA110" t="str" cm="1">
        <f t="array" ref="AA110">_xlfn.LET(_xlpm.dates, _xlfn._xlws.FILTER(G110:Z110, G110:Z110&lt;&gt;""),_xlpm.sorted,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"&amp;F110&amp;""": ["&amp;_xlpm.result&amp;"]")</f>
        <v>"Tier 109": [{"start": "2026-05-09", "end": "2026-05-09"}]</v>
      </c>
    </row>
    <row r="111" spans="1:27" x14ac:dyDescent="0.2">
      <c r="A111" s="3">
        <v>46178</v>
      </c>
      <c r="B111" s="2">
        <v>668.98</v>
      </c>
      <c r="C111">
        <f t="shared" si="1"/>
        <v>89</v>
      </c>
      <c r="D111">
        <v>681.42</v>
      </c>
      <c r="F111">
        <v>110</v>
      </c>
      <c r="G111" s="3" cm="1">
        <f t="array" ref="G111">TRANSPOSE(_xlfn._xlws.FILTER($A$2:$A$2000, $C$2:$C$2000=F111))</f>
        <v>46197</v>
      </c>
      <c r="AA111" t="str" cm="1">
        <f t="array" ref="AA111">_xlfn.LET(_xlpm.dates, _xlfn._xlws.FILTER(G111:Z111, G111:Z111&lt;&gt;""),_xlpm.sorted,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"&amp;F111&amp;""": ["&amp;_xlpm.result&amp;"]")</f>
        <v>"Tier 110": [{"start": "2026-06-24", "end": "2026-06-24"}]</v>
      </c>
    </row>
    <row r="112" spans="1:27" x14ac:dyDescent="0.2">
      <c r="A112" s="3">
        <v>46179</v>
      </c>
      <c r="B112" s="2">
        <v>656.64</v>
      </c>
      <c r="C112">
        <f t="shared" si="1"/>
        <v>73</v>
      </c>
      <c r="D112">
        <v>681.92</v>
      </c>
      <c r="F112">
        <v>111</v>
      </c>
      <c r="G112" s="3" cm="1">
        <f t="array" ref="G112">TRANSPOSE(_xlfn._xlws.FILTER($A$2:$A$2000, $C$2:$C$2000=F112))</f>
        <v>46170</v>
      </c>
      <c r="AA112" t="str" cm="1">
        <f t="array" ref="AA112">_xlfn.LET(_xlpm.dates, _xlfn._xlws.FILTER(G112:Z112, G112:Z112&lt;&gt;""),_xlpm.sorted,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"&amp;F112&amp;""": ["&amp;_xlpm.result&amp;"]")</f>
        <v>"Tier 111": [{"start": "2026-05-28", "end": "2026-05-28"}]</v>
      </c>
    </row>
    <row r="113" spans="1:27" x14ac:dyDescent="0.2">
      <c r="A113" s="3">
        <v>46180</v>
      </c>
      <c r="B113" s="2">
        <v>661.38</v>
      </c>
      <c r="C113">
        <f t="shared" si="1"/>
        <v>79</v>
      </c>
      <c r="D113">
        <v>682.68</v>
      </c>
      <c r="F113">
        <v>112</v>
      </c>
      <c r="G113" s="3" cm="1">
        <f t="array" ref="G113">TRANSPOSE(_xlfn._xlws.FILTER($A$2:$A$2000, $C$2:$C$2000=F113))</f>
        <v>46200</v>
      </c>
      <c r="AA113" t="str" cm="1">
        <f t="array" ref="AA113">_xlfn.LET(_xlpm.dates, _xlfn._xlws.FILTER(G113:Z113, G113:Z113&lt;&gt;""),_xlpm.sorted,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"&amp;F113&amp;""": ["&amp;_xlpm.result&amp;"]")</f>
        <v>"Tier 112": [{"start": "2026-06-27", "end": "2026-06-27"}]</v>
      </c>
    </row>
    <row r="114" spans="1:27" x14ac:dyDescent="0.2">
      <c r="A114" s="3">
        <v>46181</v>
      </c>
      <c r="B114" s="2">
        <v>652.88</v>
      </c>
      <c r="C114">
        <f t="shared" si="1"/>
        <v>72</v>
      </c>
      <c r="D114">
        <v>683.22</v>
      </c>
      <c r="F114">
        <v>113</v>
      </c>
      <c r="G114" s="3" cm="1">
        <f t="array" ref="G114">TRANSPOSE(_xlfn._xlws.FILTER($A$2:$A$2000, $C$2:$C$2000=F114))</f>
        <v>46299</v>
      </c>
      <c r="AA114" t="str" cm="1">
        <f t="array" ref="AA114">_xlfn.LET(_xlpm.dates, _xlfn._xlws.FILTER(G114:Z114, G114:Z114&lt;&gt;""),_xlpm.sorted,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"&amp;F114&amp;""": ["&amp;_xlpm.result&amp;"]")</f>
        <v>"Tier 113": [{"start": "2026-10-04", "end": "2026-10-04"}]</v>
      </c>
    </row>
    <row r="115" spans="1:27" x14ac:dyDescent="0.2">
      <c r="A115" s="3">
        <v>46182</v>
      </c>
      <c r="B115" s="2">
        <v>660.41</v>
      </c>
      <c r="C115">
        <f t="shared" si="1"/>
        <v>77</v>
      </c>
      <c r="D115">
        <v>684.01</v>
      </c>
      <c r="F115">
        <v>114</v>
      </c>
      <c r="G115" s="3" cm="1">
        <f t="array" ref="G115">TRANSPOSE(_xlfn._xlws.FILTER($A$2:$A$2000, $C$2:$C$2000=F115))</f>
        <v>46326</v>
      </c>
      <c r="AA115" t="str" cm="1">
        <f t="array" ref="AA115">_xlfn.LET(_xlpm.dates, _xlfn._xlws.FILTER(G115:Z115, G115:Z115&lt;&gt;""),_xlpm.sorted,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"&amp;F115&amp;""": ["&amp;_xlpm.result&amp;"]")</f>
        <v>"Tier 114": [{"start": "2026-10-31", "end": "2026-10-31"}]</v>
      </c>
    </row>
    <row r="116" spans="1:27" x14ac:dyDescent="0.2">
      <c r="A116" s="3">
        <v>46183</v>
      </c>
      <c r="B116" s="2">
        <v>664.14</v>
      </c>
      <c r="C116">
        <f t="shared" si="1"/>
        <v>83</v>
      </c>
      <c r="D116">
        <v>684.76</v>
      </c>
      <c r="F116">
        <v>115</v>
      </c>
      <c r="G116" s="3" cm="1">
        <f t="array" ref="G116:H116">TRANSPOSE(_xlfn._xlws.FILTER($A$2:$A$2000, $C$2:$C$2000=F116))</f>
        <v>46297</v>
      </c>
      <c r="H116" s="3">
        <v>46334</v>
      </c>
      <c r="AA116" t="str" cm="1">
        <f t="array" ref="AA116">_xlfn.LET(_xlpm.dates, _xlfn._xlws.FILTER(G116:Z116, G116:Z116&lt;&gt;""),_xlpm.sorted,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"&amp;F116&amp;""": ["&amp;_xlpm.result&amp;"]")</f>
        <v>"Tier 115": [{"start": "2026-10-02", "end": "2026-10-02"},{"start": "2026-11-08", "end": "2026-11-08"}]</v>
      </c>
    </row>
    <row r="117" spans="1:27" x14ac:dyDescent="0.2">
      <c r="A117" s="3">
        <v>46184</v>
      </c>
      <c r="B117" s="2">
        <v>664.14</v>
      </c>
      <c r="C117">
        <f t="shared" si="1"/>
        <v>83</v>
      </c>
      <c r="D117">
        <v>685.16</v>
      </c>
      <c r="F117">
        <v>116</v>
      </c>
      <c r="G117" s="3" cm="1">
        <f t="array" ref="G117">TRANSPOSE(_xlfn._xlws.FILTER($A$2:$A$2000, $C$2:$C$2000=F117))</f>
        <v>46198</v>
      </c>
      <c r="AA117" t="str" cm="1">
        <f t="array" ref="AA117">_xlfn.LET(_xlpm.dates, _xlfn._xlws.FILTER(G117:Z117, G117:Z117&lt;&gt;""),_xlpm.sorted,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"&amp;F117&amp;""": ["&amp;_xlpm.result&amp;"]")</f>
        <v>"Tier 116": [{"start": "2026-06-25", "end": "2026-06-25"}]</v>
      </c>
    </row>
    <row r="118" spans="1:27" x14ac:dyDescent="0.2">
      <c r="A118" s="3">
        <v>46185</v>
      </c>
      <c r="B118" s="2">
        <v>664.14</v>
      </c>
      <c r="C118">
        <f t="shared" si="1"/>
        <v>83</v>
      </c>
      <c r="D118">
        <v>685.71</v>
      </c>
      <c r="F118">
        <v>117</v>
      </c>
      <c r="G118" s="3" cm="1">
        <f t="array" ref="G118:I118">TRANSPOSE(_xlfn._xlws.FILTER($A$2:$A$2000, $C$2:$C$2000=F118))</f>
        <v>46104</v>
      </c>
      <c r="H118" s="3">
        <v>46142</v>
      </c>
      <c r="I118" s="3">
        <v>46169</v>
      </c>
      <c r="AA118" t="str" cm="1">
        <f t="array" ref="AA118">_xlfn.LET(_xlpm.dates, _xlfn._xlws.FILTER(G118:Z118, G118:Z118&lt;&gt;""),_xlpm.sorted,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"&amp;F118&amp;""": ["&amp;_xlpm.result&amp;"]")</f>
        <v>"Tier 117": [{"start": "2026-03-23", "end": "2026-03-23"},{"start": "2026-04-30", "end": "2026-04-30"},{"start": "2026-05-27", "end": "2026-05-27"}]</v>
      </c>
    </row>
    <row r="119" spans="1:27" x14ac:dyDescent="0.2">
      <c r="A119" s="3">
        <v>46186</v>
      </c>
      <c r="B119" s="2">
        <v>660.41</v>
      </c>
      <c r="C119">
        <f t="shared" si="1"/>
        <v>77</v>
      </c>
      <c r="D119">
        <v>686.48</v>
      </c>
      <c r="F119">
        <v>118</v>
      </c>
      <c r="G119" s="3" cm="1">
        <f t="array" ref="G119">TRANSPOSE(_xlfn._xlws.FILTER($A$2:$A$2000, $C$2:$C$2000=F119))</f>
        <v>46097</v>
      </c>
      <c r="AA119" t="str" cm="1">
        <f t="array" ref="AA119">_xlfn.LET(_xlpm.dates, _xlfn._xlws.FILTER(G119:Z119, G119:Z119&lt;&gt;""),_xlpm.sorted,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"&amp;F119&amp;""": ["&amp;_xlpm.result&amp;"]")</f>
        <v>"Tier 118": [{"start": "2026-03-16", "end": "2026-03-16"}]</v>
      </c>
    </row>
    <row r="120" spans="1:27" x14ac:dyDescent="0.2">
      <c r="A120" s="3">
        <v>46187</v>
      </c>
      <c r="B120" s="2">
        <v>652.88</v>
      </c>
      <c r="C120">
        <f t="shared" si="1"/>
        <v>72</v>
      </c>
      <c r="D120">
        <v>687.06</v>
      </c>
      <c r="F120">
        <v>119</v>
      </c>
      <c r="G120" s="3" cm="1">
        <f t="array" ref="G120:H120">TRANSPOSE(_xlfn._xlws.FILTER($A$2:$A$2000, $C$2:$C$2000=F120))</f>
        <v>46300</v>
      </c>
      <c r="H120" s="3">
        <v>46313</v>
      </c>
      <c r="AA120" t="str" cm="1">
        <f t="array" ref="AA120">_xlfn.LET(_xlpm.dates, _xlfn._xlws.FILTER(G120:Z120, G120:Z120&lt;&gt;""),_xlpm.sorted,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"&amp;F120&amp;""": ["&amp;_xlpm.result&amp;"]")</f>
        <v>"Tier 119": [{"start": "2026-10-05", "end": "2026-10-05"},{"start": "2026-10-18", "end": "2026-10-18"}]</v>
      </c>
    </row>
    <row r="121" spans="1:27" x14ac:dyDescent="0.2">
      <c r="A121" s="3">
        <v>46188</v>
      </c>
      <c r="B121" s="2">
        <v>652.88</v>
      </c>
      <c r="C121">
        <f t="shared" si="1"/>
        <v>72</v>
      </c>
      <c r="D121">
        <v>687.24</v>
      </c>
      <c r="F121">
        <v>120</v>
      </c>
      <c r="G121" s="3" cm="1">
        <f t="array" ref="G121">TRANSPOSE(_xlfn._xlws.FILTER($A$2:$A$2000, $C$2:$C$2000=F121))</f>
        <v>46149</v>
      </c>
      <c r="AA121" t="str" cm="1">
        <f t="array" ref="AA121">_xlfn.LET(_xlpm.dates, _xlfn._xlws.FILTER(G121:Z121, G121:Z121&lt;&gt;""),_xlpm.sorted,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"&amp;F121&amp;""": ["&amp;_xlpm.result&amp;"]")</f>
        <v>"Tier 120": [{"start": "2026-05-07", "end": "2026-05-07"}]</v>
      </c>
    </row>
    <row r="122" spans="1:27" x14ac:dyDescent="0.2">
      <c r="A122" s="3">
        <v>46189</v>
      </c>
      <c r="B122" s="2">
        <v>660.41</v>
      </c>
      <c r="C122">
        <f t="shared" si="1"/>
        <v>77</v>
      </c>
      <c r="D122">
        <v>687.99</v>
      </c>
      <c r="F122">
        <v>121</v>
      </c>
      <c r="G122" s="3" cm="1">
        <f t="array" ref="G122:H122">TRANSPOSE(_xlfn._xlws.FILTER($A$2:$A$2000, $C$2:$C$2000=F122))</f>
        <v>46103</v>
      </c>
      <c r="H122" s="3">
        <v>46105</v>
      </c>
      <c r="AA122" t="str" cm="1">
        <f t="array" ref="AA122">_xlfn.LET(_xlpm.dates, _xlfn._xlws.FILTER(G122:Z122, G122:Z122&lt;&gt;""),_xlpm.sorted,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"&amp;F122&amp;""": ["&amp;_xlpm.result&amp;"]")</f>
        <v>"Tier 121": [{"start": "2026-03-22", "end": "2026-03-22"},{"start": "2026-03-24", "end": "2026-03-24"}]</v>
      </c>
    </row>
    <row r="123" spans="1:27" x14ac:dyDescent="0.2">
      <c r="A123" s="3">
        <v>46190</v>
      </c>
      <c r="B123" s="2">
        <v>664.14</v>
      </c>
      <c r="C123">
        <f t="shared" si="1"/>
        <v>83</v>
      </c>
      <c r="D123">
        <v>688.59</v>
      </c>
      <c r="F123">
        <v>122</v>
      </c>
      <c r="G123" s="3" cm="1">
        <f t="array" ref="G123">TRANSPOSE(_xlfn._xlws.FILTER($A$2:$A$2000, $C$2:$C$2000=F123))</f>
        <v>46298</v>
      </c>
      <c r="AA123" t="str" cm="1">
        <f t="array" ref="AA123">_xlfn.LET(_xlpm.dates, _xlfn._xlws.FILTER(G123:Z123, G123:Z123&lt;&gt;""),_xlpm.sorted,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"&amp;F123&amp;""": ["&amp;_xlpm.result&amp;"]")</f>
        <v>"Tier 122": [{"start": "2026-10-03", "end": "2026-10-03"}]</v>
      </c>
    </row>
    <row r="124" spans="1:27" x14ac:dyDescent="0.2">
      <c r="A124" s="3">
        <v>46191</v>
      </c>
      <c r="B124" s="2">
        <v>667.89</v>
      </c>
      <c r="C124">
        <f t="shared" si="1"/>
        <v>86</v>
      </c>
      <c r="D124">
        <v>689.35</v>
      </c>
      <c r="F124">
        <v>123</v>
      </c>
      <c r="G124" s="3" cm="1">
        <f t="array" ref="G124">TRANSPOSE(_xlfn._xlws.FILTER($A$2:$A$2000, $C$2:$C$2000=F124))</f>
        <v>46329</v>
      </c>
      <c r="AA124" t="str" cm="1">
        <f t="array" ref="AA124">_xlfn.LET(_xlpm.dates, _xlfn._xlws.FILTER(G124:Z124, G124:Z124&lt;&gt;""),_xlpm.sorted,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"&amp;F124&amp;""": ["&amp;_xlpm.result&amp;"]")</f>
        <v>"Tier 123": [{"start": "2026-11-03", "end": "2026-11-03"}]</v>
      </c>
    </row>
    <row r="125" spans="1:27" x14ac:dyDescent="0.2">
      <c r="A125" s="3">
        <v>46192</v>
      </c>
      <c r="B125" s="2">
        <v>667.89</v>
      </c>
      <c r="C125">
        <f t="shared" si="1"/>
        <v>86</v>
      </c>
      <c r="D125">
        <v>689.51</v>
      </c>
      <c r="F125">
        <v>124</v>
      </c>
      <c r="G125" s="3" cm="1">
        <f t="array" ref="G125:I125">TRANSPOSE(_xlfn._xlws.FILTER($A$2:$A$2000, $C$2:$C$2000=F125))</f>
        <v>46096</v>
      </c>
      <c r="H125" s="3">
        <v>46099</v>
      </c>
      <c r="I125" s="3">
        <v>46162</v>
      </c>
      <c r="AA125" t="str" cm="1">
        <f t="array" ref="AA125">_xlfn.LET(_xlpm.dates, _xlfn._xlws.FILTER(G125:Z125, G125:Z125&lt;&gt;""),_xlpm.sorted,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"&amp;F125&amp;""": ["&amp;_xlpm.result&amp;"]")</f>
        <v>"Tier 124": [{"start": "2026-03-15", "end": "2026-03-15"},{"start": "2026-03-18", "end": "2026-03-18"},{"start": "2026-05-20", "end": "2026-05-20"}]</v>
      </c>
    </row>
    <row r="126" spans="1:27" x14ac:dyDescent="0.2">
      <c r="A126" s="3">
        <v>46193</v>
      </c>
      <c r="B126" s="2">
        <v>664.14</v>
      </c>
      <c r="C126">
        <f t="shared" si="1"/>
        <v>83</v>
      </c>
      <c r="D126">
        <v>690.28</v>
      </c>
      <c r="F126">
        <v>125</v>
      </c>
      <c r="G126" s="3" cm="1">
        <f t="array" ref="G126:H126">TRANSPOSE(_xlfn._xlws.FILTER($A$2:$A$2000, $C$2:$C$2000=F126))</f>
        <v>46124</v>
      </c>
      <c r="H126" s="3">
        <v>46125</v>
      </c>
      <c r="AA126" t="str" cm="1">
        <f t="array" ref="AA126">_xlfn.LET(_xlpm.dates, _xlfn._xlws.FILTER(G126:Z126, G126:Z126&lt;&gt;""),_xlpm.sorted,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"&amp;F126&amp;""": ["&amp;_xlpm.result&amp;"]")</f>
        <v>"Tier 125": [{"start": "2026-04-12", "end": "2026-04-12"},{"start": "2026-04-13", "end": "2026-04-13"}]</v>
      </c>
    </row>
    <row r="127" spans="1:27" x14ac:dyDescent="0.2">
      <c r="A127" s="3">
        <v>46194</v>
      </c>
      <c r="B127" s="2">
        <v>664.14</v>
      </c>
      <c r="C127">
        <f t="shared" si="1"/>
        <v>83</v>
      </c>
      <c r="D127">
        <v>690.88</v>
      </c>
      <c r="F127">
        <v>126</v>
      </c>
      <c r="G127" s="3" cm="1">
        <f t="array" ref="G127:H127">TRANSPOSE(_xlfn._xlws.FILTER($A$2:$A$2000, $C$2:$C$2000=F127))</f>
        <v>46312</v>
      </c>
      <c r="H127" s="3">
        <v>46314</v>
      </c>
      <c r="AA127" t="str" cm="1">
        <f t="array" ref="AA127">_xlfn.LET(_xlpm.dates, _xlfn._xlws.FILTER(G127:Z127, G127:Z127&lt;&gt;""),_xlpm.sorted,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"&amp;F127&amp;""": ["&amp;_xlpm.result&amp;"]")</f>
        <v>"Tier 126": [{"start": "2026-10-17", "end": "2026-10-17"},{"start": "2026-10-19", "end": "2026-10-19"}]</v>
      </c>
    </row>
    <row r="128" spans="1:27" x14ac:dyDescent="0.2">
      <c r="A128" s="3">
        <v>46195</v>
      </c>
      <c r="B128" s="2">
        <v>668.64</v>
      </c>
      <c r="C128">
        <f t="shared" si="1"/>
        <v>88</v>
      </c>
      <c r="D128">
        <v>691.03</v>
      </c>
      <c r="F128">
        <v>127</v>
      </c>
      <c r="G128" s="3" cm="1">
        <f t="array" ref="G128:H128">TRANSPOSE(_xlfn._xlws.FILTER($A$2:$A$2000, $C$2:$C$2000=F128))</f>
        <v>46150</v>
      </c>
      <c r="H128" s="3">
        <v>46199</v>
      </c>
      <c r="AA128" t="str" cm="1">
        <f t="array" ref="AA128">_xlfn.LET(_xlpm.dates, _xlfn._xlws.FILTER(G128:Z128, G128:Z128&lt;&gt;""),_xlpm.sorted,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"&amp;F128&amp;""": ["&amp;_xlpm.result&amp;"]")</f>
        <v>"Tier 127": [{"start": "2026-05-08", "end": "2026-05-08"},{"start": "2026-06-26", "end": "2026-06-26"}]</v>
      </c>
    </row>
    <row r="129" spans="1:27" x14ac:dyDescent="0.2">
      <c r="A129" s="3">
        <v>46196</v>
      </c>
      <c r="B129" s="2">
        <v>673.16</v>
      </c>
      <c r="C129">
        <f t="shared" si="1"/>
        <v>94</v>
      </c>
      <c r="D129">
        <v>691.66</v>
      </c>
      <c r="F129">
        <v>128</v>
      </c>
      <c r="G129" s="3" cm="1">
        <f t="array" ref="G129:I129">TRANSPOSE(_xlfn._xlws.FILTER($A$2:$A$2000, $C$2:$C$2000=F129))</f>
        <v>46080</v>
      </c>
      <c r="H129" s="3">
        <v>46318</v>
      </c>
      <c r="I129" s="3">
        <v>46322</v>
      </c>
      <c r="AA129" t="str" cm="1">
        <f t="array" ref="AA129">_xlfn.LET(_xlpm.dates, _xlfn._xlws.FILTER(G129:Z129, G129:Z129&lt;&gt;""),_xlpm.sorted,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"&amp;F129&amp;""": ["&amp;_xlpm.result&amp;"]")</f>
        <v>"Tier 128": [{"start": "2026-02-27", "end": "2026-02-27"},{"start": "2026-10-23", "end": "2026-10-23"},{"start": "2026-10-27", "end": "2026-10-27"}]</v>
      </c>
    </row>
    <row r="130" spans="1:27" x14ac:dyDescent="0.2">
      <c r="A130" s="3">
        <v>46197</v>
      </c>
      <c r="B130" s="2">
        <v>681.42</v>
      </c>
      <c r="C130">
        <f t="shared" si="1"/>
        <v>110</v>
      </c>
      <c r="D130">
        <v>691.78</v>
      </c>
      <c r="F130">
        <v>129</v>
      </c>
      <c r="G130" s="3" cm="1">
        <f t="array" ref="G130">TRANSPOSE(_xlfn._xlws.FILTER($A$2:$A$2000, $C$2:$C$2000=F130))</f>
        <v>46102</v>
      </c>
      <c r="AA130" t="str" cm="1">
        <f t="array" ref="AA130">_xlfn.LET(_xlpm.dates, _xlfn._xlws.FILTER(G130:Z130, G130:Z130&lt;&gt;""),_xlpm.sorted,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"&amp;F130&amp;""": ["&amp;_xlpm.result&amp;"]")</f>
        <v>"Tier 129": [{"start": "2026-03-21", "end": "2026-03-21"}]</v>
      </c>
    </row>
    <row r="131" spans="1:27" x14ac:dyDescent="0.2">
      <c r="A131" s="3">
        <v>46198</v>
      </c>
      <c r="B131" s="2">
        <v>685.16</v>
      </c>
      <c r="C131">
        <f t="shared" ref="C131:C194" si="2">MATCH(B131, $D$1:$D$195, 0)-1</f>
        <v>116</v>
      </c>
      <c r="D131">
        <v>692.56</v>
      </c>
      <c r="F131">
        <v>130</v>
      </c>
      <c r="G131" s="3" cm="1">
        <f t="array" ref="G131:H131">TRANSPOSE(_xlfn._xlws.FILTER($A$2:$A$2000, $C$2:$C$2000=F131))</f>
        <v>46126</v>
      </c>
      <c r="H131" s="3">
        <v>46168</v>
      </c>
      <c r="AA131" t="str" cm="1">
        <f t="array" ref="AA131">_xlfn.LET(_xlpm.dates, _xlfn._xlws.FILTER(G131:Z131, G131:Z131&lt;&gt;""),_xlpm.sorted,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"&amp;F131&amp;""": ["&amp;_xlpm.result&amp;"]")</f>
        <v>"Tier 130": [{"start": "2026-04-14", "end": "2026-04-14"},{"start": "2026-05-26", "end": "2026-05-26"}]</v>
      </c>
    </row>
    <row r="132" spans="1:27" x14ac:dyDescent="0.2">
      <c r="A132" s="3">
        <v>46199</v>
      </c>
      <c r="B132" s="2">
        <v>691.03</v>
      </c>
      <c r="C132">
        <f t="shared" si="2"/>
        <v>127</v>
      </c>
      <c r="D132">
        <v>693.17</v>
      </c>
      <c r="F132">
        <v>131</v>
      </c>
      <c r="G132" s="3" cm="1">
        <f t="array" ref="G132">TRANSPOSE(_xlfn._xlws.FILTER($A$2:$A$2000, $C$2:$C$2000=F132))</f>
        <v>46336</v>
      </c>
      <c r="AA132" t="str" cm="1">
        <f t="array" ref="AA132">_xlfn.LET(_xlpm.dates, _xlfn._xlws.FILTER(G132:Z132, G132:Z132&lt;&gt;""),_xlpm.sorted,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"&amp;F132&amp;""": ["&amp;_xlpm.result&amp;"]")</f>
        <v>"Tier 131": [{"start": "2026-11-10", "end": "2026-11-10"}]</v>
      </c>
    </row>
    <row r="133" spans="1:27" x14ac:dyDescent="0.2">
      <c r="A133" s="3">
        <v>46200</v>
      </c>
      <c r="B133" s="2">
        <v>682.68</v>
      </c>
      <c r="C133">
        <f t="shared" si="2"/>
        <v>112</v>
      </c>
      <c r="D133">
        <v>693.31</v>
      </c>
      <c r="F133">
        <v>132</v>
      </c>
      <c r="G133" s="3" cm="1">
        <f t="array" ref="G133:H133">TRANSPOSE(_xlfn._xlws.FILTER($A$2:$A$2000, $C$2:$C$2000=F133))</f>
        <v>46086</v>
      </c>
      <c r="H133" s="3">
        <v>46136</v>
      </c>
      <c r="AA133" t="str" cm="1">
        <f t="array" ref="AA133">_xlfn.LET(_xlpm.dates, _xlfn._xlws.FILTER(G133:Z133, G133:Z133&lt;&gt;""),_xlpm.sorted,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"&amp;F133&amp;""": ["&amp;_xlpm.result&amp;"]")</f>
        <v>"Tier 132": [{"start": "2026-03-05", "end": "2026-03-05"},{"start": "2026-04-24", "end": "2026-04-24"}]</v>
      </c>
    </row>
    <row r="134" spans="1:27" x14ac:dyDescent="0.2">
      <c r="A134" s="3">
        <v>46201</v>
      </c>
      <c r="B134" s="1">
        <v>675.08</v>
      </c>
      <c r="C134">
        <f t="shared" si="2"/>
        <v>97</v>
      </c>
      <c r="D134">
        <v>693.95</v>
      </c>
      <c r="F134">
        <v>133</v>
      </c>
      <c r="G134" s="3" cm="1">
        <f t="array" ref="G134">TRANSPOSE(_xlfn._xlws.FILTER($A$2:$A$2000, $C$2:$C$2000=F134))</f>
        <v>46333</v>
      </c>
      <c r="AA134" t="str" cm="1">
        <f t="array" ref="AA134">_xlfn.LET(_xlpm.dates, _xlfn._xlws.FILTER(G134:Z134, G134:Z134&lt;&gt;""),_xlpm.sorted,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"&amp;F134&amp;""": ["&amp;_xlpm.result&amp;"]")</f>
        <v>"Tier 133": [{"start": "2026-11-07", "end": "2026-11-07"}]</v>
      </c>
    </row>
    <row r="135" spans="1:27" x14ac:dyDescent="0.2">
      <c r="A135" s="3">
        <v>46202</v>
      </c>
      <c r="B135" s="1">
        <v>674.31</v>
      </c>
      <c r="C135">
        <f t="shared" si="2"/>
        <v>96</v>
      </c>
      <c r="D135">
        <v>694.08</v>
      </c>
      <c r="F135">
        <v>134</v>
      </c>
      <c r="G135" s="3" cm="1">
        <f t="array" ref="G135:J135">TRANSPOSE(_xlfn._xlws.FILTER($A$2:$A$2000, $C$2:$C$2000=F135))</f>
        <v>46100</v>
      </c>
      <c r="H135" s="3">
        <v>46106</v>
      </c>
      <c r="I135" s="3">
        <v>46131</v>
      </c>
      <c r="J135" s="3">
        <v>46132</v>
      </c>
      <c r="AA135" t="str" cm="1">
        <f t="array" ref="AA135">_xlfn.LET(_xlpm.dates, _xlfn._xlws.FILTER(G135:Z135, G135:Z135&lt;&gt;""),_xlpm.sorted,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"&amp;F135&amp;""": ["&amp;_xlpm.result&amp;"]")</f>
        <v>"Tier 134": [{"start": "2026-03-19", "end": "2026-03-19"},{"start": "2026-03-25", "end": "2026-03-25"},{"start": "2026-04-19", "end": "2026-04-19"},{"start": "2026-04-20", "end": "2026-04-20"}]</v>
      </c>
    </row>
    <row r="136" spans="1:27" x14ac:dyDescent="0.2">
      <c r="A136" s="3">
        <v>46203</v>
      </c>
      <c r="B136" s="1">
        <v>678.11</v>
      </c>
      <c r="C136">
        <f t="shared" si="2"/>
        <v>103</v>
      </c>
      <c r="D136">
        <v>694.71</v>
      </c>
      <c r="F136">
        <v>135</v>
      </c>
      <c r="G136" s="3" cm="1">
        <f t="array" ref="G136:H136">TRANSPOSE(_xlfn._xlws.FILTER($A$2:$A$2000, $C$2:$C$2000=F136))</f>
        <v>46323</v>
      </c>
      <c r="H136" s="3">
        <v>46325</v>
      </c>
      <c r="AA136" t="str" cm="1">
        <f t="array" ref="AA136">_xlfn.LET(_xlpm.dates, _xlfn._xlws.FILTER(G136:Z136, G136:Z136&lt;&gt;""),_xlpm.sorted,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"&amp;F136&amp;""": ["&amp;_xlpm.result&amp;"]")</f>
        <v>"Tier 135": [{"start": "2026-10-28", "end": "2026-10-28"},{"start": "2026-10-30", "end": "2026-10-30"}]</v>
      </c>
    </row>
    <row r="137" spans="1:27" x14ac:dyDescent="0.2">
      <c r="A137" s="3">
        <v>46204</v>
      </c>
      <c r="B137" s="2">
        <v>677.36</v>
      </c>
      <c r="C137">
        <f t="shared" si="2"/>
        <v>102</v>
      </c>
      <c r="D137">
        <v>694.84</v>
      </c>
      <c r="F137">
        <v>136</v>
      </c>
      <c r="G137" s="3" cm="1">
        <f t="array" ref="G137">TRANSPOSE(_xlfn._xlws.FILTER($A$2:$A$2000, $C$2:$C$2000=F137))</f>
        <v>46101</v>
      </c>
      <c r="AA137" t="str" cm="1">
        <f t="array" ref="AA137">_xlfn.LET(_xlpm.dates, _xlfn._xlws.FILTER(G137:Z137, G137:Z137&lt;&gt;""),_xlpm.sorted,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"&amp;F137&amp;""": ["&amp;_xlpm.result&amp;"]")</f>
        <v>"Tier 136": [{"start": "2026-03-20", "end": "2026-03-20"}]</v>
      </c>
    </row>
    <row r="138" spans="1:27" x14ac:dyDescent="0.2">
      <c r="A138" s="3">
        <v>46205</v>
      </c>
      <c r="B138" s="2">
        <v>676.6</v>
      </c>
      <c r="C138">
        <f t="shared" si="2"/>
        <v>101</v>
      </c>
      <c r="D138">
        <v>695.48</v>
      </c>
      <c r="F138">
        <v>137</v>
      </c>
      <c r="G138" s="3" cm="1">
        <f t="array" ref="G138:H138">TRANSPOSE(_xlfn._xlws.FILTER($A$2:$A$2000, $C$2:$C$2000=F138))</f>
        <v>46301</v>
      </c>
      <c r="H138" s="3">
        <v>46317</v>
      </c>
      <c r="AA138" t="str" cm="1">
        <f t="array" ref="AA138">_xlfn.LET(_xlpm.dates, _xlfn._xlws.FILTER(G138:Z138, G138:Z138&lt;&gt;""),_xlpm.sorted,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"&amp;F138&amp;""": ["&amp;_xlpm.result&amp;"]")</f>
        <v>"Tier 137": [{"start": "2026-10-06", "end": "2026-10-06"},{"start": "2026-10-22", "end": "2026-10-22"}]</v>
      </c>
    </row>
    <row r="139" spans="1:27" x14ac:dyDescent="0.2">
      <c r="A139" s="3">
        <v>46206</v>
      </c>
      <c r="B139" s="2">
        <v>670.5</v>
      </c>
      <c r="C139">
        <f t="shared" si="2"/>
        <v>91</v>
      </c>
      <c r="D139">
        <v>696.37</v>
      </c>
      <c r="F139">
        <v>138</v>
      </c>
      <c r="G139" s="3" cm="1">
        <f t="array" ref="G139:J139">TRANSPOSE(_xlfn._xlws.FILTER($A$2:$A$2000, $C$2:$C$2000=F139))</f>
        <v>46095</v>
      </c>
      <c r="H139" s="3">
        <v>46123</v>
      </c>
      <c r="I139" s="3">
        <v>46133</v>
      </c>
      <c r="J139" s="3">
        <v>46167</v>
      </c>
      <c r="AA139" t="str" cm="1">
        <f t="array" ref="AA139">_xlfn.LET(_xlpm.dates, _xlfn._xlws.FILTER(G139:Z139, G139:Z139&lt;&gt;""),_xlpm.sorted,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"&amp;F139&amp;""": ["&amp;_xlpm.result&amp;"]")</f>
        <v>"Tier 138": [{"start": "2026-03-14", "end": "2026-03-14"},{"start": "2026-04-11", "end": "2026-04-11"},{"start": "2026-04-21", "end": "2026-04-21"},{"start": "2026-05-25", "end": "2026-05-25"}]</v>
      </c>
    </row>
    <row r="140" spans="1:27" x14ac:dyDescent="0.2">
      <c r="A140" s="3">
        <v>46207</v>
      </c>
      <c r="B140" s="2">
        <v>657.59</v>
      </c>
      <c r="C140">
        <f t="shared" si="2"/>
        <v>75</v>
      </c>
      <c r="D140">
        <v>697.77</v>
      </c>
      <c r="F140">
        <v>139</v>
      </c>
      <c r="G140" s="3" cm="1">
        <f t="array" ref="G140:H140">TRANSPOSE(_xlfn._xlws.FILTER($A$2:$A$2000, $C$2:$C$2000=F140))</f>
        <v>46315</v>
      </c>
      <c r="H140" s="3">
        <v>46332</v>
      </c>
      <c r="AA140" t="str" cm="1">
        <f t="array" ref="AA140">_xlfn.LET(_xlpm.dates, _xlfn._xlws.FILTER(G140:Z140, G140:Z140&lt;&gt;""),_xlpm.sorted,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"&amp;F140&amp;""": ["&amp;_xlpm.result&amp;"]")</f>
        <v>"Tier 139": [{"start": "2026-10-20", "end": "2026-10-20"},{"start": "2026-11-06", "end": "2026-11-06"}]</v>
      </c>
    </row>
    <row r="141" spans="1:27" x14ac:dyDescent="0.2">
      <c r="A141" s="3">
        <v>46208</v>
      </c>
      <c r="B141" s="2">
        <v>644.66999999999996</v>
      </c>
      <c r="C141">
        <f t="shared" si="2"/>
        <v>69</v>
      </c>
      <c r="D141">
        <v>697.88</v>
      </c>
      <c r="F141">
        <v>140</v>
      </c>
      <c r="G141" s="3" cm="1">
        <f t="array" ref="G141:I141">TRANSPOSE(_xlfn._xlws.FILTER($A$2:$A$2000, $C$2:$C$2000=F141))</f>
        <v>46107</v>
      </c>
      <c r="H141" s="3">
        <v>46135</v>
      </c>
      <c r="I141" s="3">
        <v>46163</v>
      </c>
      <c r="AA141" t="str" cm="1">
        <f t="array" ref="AA141">_xlfn.LET(_xlpm.dates, _xlfn._xlws.FILTER(G141:Z141, G141:Z141&lt;&gt;""),_xlpm.sorted,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"&amp;F141&amp;""": ["&amp;_xlpm.result&amp;"]")</f>
        <v>"Tier 140": [{"start": "2026-03-26", "end": "2026-03-26"},{"start": "2026-04-23", "end": "2026-04-23"},{"start": "2026-05-21", "end": "2026-05-21"}]</v>
      </c>
    </row>
    <row r="142" spans="1:27" x14ac:dyDescent="0.2">
      <c r="A142" s="3">
        <v>46209</v>
      </c>
      <c r="B142" s="2">
        <v>639.35</v>
      </c>
      <c r="C142">
        <f t="shared" si="2"/>
        <v>68</v>
      </c>
      <c r="D142">
        <v>698.54</v>
      </c>
      <c r="F142">
        <v>141</v>
      </c>
      <c r="G142" s="3" cm="1">
        <f t="array" ref="G142:K142">TRANSPOSE(_xlfn._xlws.FILTER($A$2:$A$2000, $C$2:$C$2000=F142))</f>
        <v>46311</v>
      </c>
      <c r="H142" s="3">
        <v>46316</v>
      </c>
      <c r="I142" s="3">
        <v>46324</v>
      </c>
      <c r="J142" s="3">
        <v>46362</v>
      </c>
      <c r="K142" s="3">
        <v>46363</v>
      </c>
      <c r="AA142" t="str" cm="1">
        <f t="array" ref="AA142">_xlfn.LET(_xlpm.dates, _xlfn._xlws.FILTER(G142:Z142, G142:Z142&lt;&gt;""),_xlpm.sorted,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"&amp;F142&amp;""": ["&amp;_xlpm.result&amp;"]")</f>
        <v>"Tier 141": [{"start": "2026-10-16", "end": "2026-10-16"},{"start": "2026-10-21", "end": "2026-10-21"},{"start": "2026-10-29", "end": "2026-10-29"},{"start": "2026-12-06", "end": "2026-12-06"},{"start": "2026-12-07", "end": "2026-12-07"}]</v>
      </c>
    </row>
    <row r="143" spans="1:27" x14ac:dyDescent="0.2">
      <c r="A143" s="3">
        <v>46210</v>
      </c>
      <c r="B143" s="2">
        <v>638.6</v>
      </c>
      <c r="C143">
        <f t="shared" si="2"/>
        <v>67</v>
      </c>
      <c r="D143">
        <v>698.65</v>
      </c>
      <c r="F143">
        <v>142</v>
      </c>
      <c r="G143" s="3" cm="1">
        <f t="array" ref="G143:H143">TRANSPOSE(_xlfn._xlws.FILTER($A$2:$A$2000, $C$2:$C$2000=F143))</f>
        <v>46127</v>
      </c>
      <c r="H143" s="3">
        <v>46134</v>
      </c>
      <c r="AA143" t="str" cm="1">
        <f t="array" ref="AA143">_xlfn.LET(_xlpm.dates, _xlfn._xlws.FILTER(G143:Z143, G143:Z143&lt;&gt;""),_xlpm.sorted,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"&amp;F143&amp;""": ["&amp;_xlpm.result&amp;"]")</f>
        <v>"Tier 142": [{"start": "2026-04-15", "end": "2026-04-15"},{"start": "2026-04-22", "end": "2026-04-22"}]</v>
      </c>
    </row>
    <row r="144" spans="1:27" x14ac:dyDescent="0.2">
      <c r="A144" s="3">
        <v>46211</v>
      </c>
      <c r="B144" s="2">
        <v>630.37</v>
      </c>
      <c r="C144">
        <f t="shared" si="2"/>
        <v>64</v>
      </c>
      <c r="D144">
        <v>699.4</v>
      </c>
      <c r="F144">
        <v>143</v>
      </c>
      <c r="G144" s="3" cm="1">
        <f t="array" ref="G144">TRANSPOSE(_xlfn._xlws.FILTER($A$2:$A$2000, $C$2:$C$2000=F144))</f>
        <v>46166</v>
      </c>
      <c r="AA144" t="str" cm="1">
        <f t="array" ref="AA144">_xlfn.LET(_xlpm.dates, _xlfn._xlws.FILTER(G144:Z144, G144:Z144&lt;&gt;""),_xlpm.sorted,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"&amp;F144&amp;""": ["&amp;_xlpm.result&amp;"]")</f>
        <v>"Tier 143": [{"start": "2026-05-24", "end": "2026-05-24"}]</v>
      </c>
    </row>
    <row r="145" spans="1:27" x14ac:dyDescent="0.2">
      <c r="A145" s="3">
        <v>46212</v>
      </c>
      <c r="B145" s="2">
        <v>626.62</v>
      </c>
      <c r="C145">
        <f t="shared" si="2"/>
        <v>62</v>
      </c>
      <c r="D145">
        <v>700.16</v>
      </c>
      <c r="F145">
        <v>144</v>
      </c>
      <c r="G145" s="3" cm="1">
        <f t="array" ref="G145">TRANSPOSE(_xlfn._xlws.FILTER($A$2:$A$2000, $C$2:$C$2000=F145))</f>
        <v>46130</v>
      </c>
      <c r="AA145" t="str" cm="1">
        <f t="array" ref="AA145">_xlfn.LET(_xlpm.dates, _xlfn._xlws.FILTER(G145:Z145, G145:Z145&lt;&gt;""),_xlpm.sorted,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"&amp;F145&amp;""": ["&amp;_xlpm.result&amp;"]")</f>
        <v>"Tier 144": [{"start": "2026-04-18", "end": "2026-04-18"}]</v>
      </c>
    </row>
    <row r="146" spans="1:27" x14ac:dyDescent="0.2">
      <c r="A146" s="3">
        <v>46213</v>
      </c>
      <c r="B146" s="2">
        <v>626.62</v>
      </c>
      <c r="C146">
        <f t="shared" si="2"/>
        <v>62</v>
      </c>
      <c r="D146">
        <v>701.61</v>
      </c>
      <c r="F146">
        <v>145</v>
      </c>
      <c r="G146" s="3" cm="1">
        <f t="array" ref="G146">TRANSPOSE(_xlfn._xlws.FILTER($A$2:$A$2000, $C$2:$C$2000=F146))</f>
        <v>46330</v>
      </c>
      <c r="AA146" t="str" cm="1">
        <f t="array" ref="AA146">_xlfn.LET(_xlpm.dates, _xlfn._xlws.FILTER(G146:Z146, G146:Z146&lt;&gt;""),_xlpm.sorted,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"&amp;F146&amp;""": ["&amp;_xlpm.result&amp;"]")</f>
        <v>"Tier 145": [{"start": "2026-11-04", "end": "2026-11-04"}]</v>
      </c>
    </row>
    <row r="147" spans="1:27" x14ac:dyDescent="0.2">
      <c r="A147" s="3">
        <v>46214</v>
      </c>
      <c r="B147" s="2">
        <v>630.98</v>
      </c>
      <c r="C147">
        <f t="shared" si="2"/>
        <v>65</v>
      </c>
      <c r="D147">
        <v>701.68</v>
      </c>
      <c r="F147">
        <v>146</v>
      </c>
      <c r="G147" s="3" cm="1">
        <f t="array" ref="G147:M147">TRANSPOSE(_xlfn._xlws.FILTER($A$2:$A$2000, $C$2:$C$2000=F147))</f>
        <v>46089</v>
      </c>
      <c r="H147" s="3">
        <v>46090</v>
      </c>
      <c r="I147" s="3">
        <v>46108</v>
      </c>
      <c r="J147" s="3">
        <v>46110</v>
      </c>
      <c r="K147" s="3">
        <v>46111</v>
      </c>
      <c r="L147" s="3">
        <v>46117</v>
      </c>
      <c r="M147" s="3">
        <v>46118</v>
      </c>
      <c r="AA147" t="str" cm="1">
        <f t="array" ref="AA147">_xlfn.LET(_xlpm.dates, _xlfn._xlws.FILTER(G147:Z147, G147:Z147&lt;&gt;""),_xlpm.sorted,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"&amp;F147&amp;""": ["&amp;_xlpm.result&amp;"]")</f>
        <v>"Tier 146": [{"start": "2026-03-08", "end": "2026-03-08"},{"start": "2026-03-09", "end": "2026-03-09"},{"start": "2026-03-27", "end": "2026-03-27"},{"start": "2026-03-29", "end": "2026-03-29"},{"start": "2026-03-30", "end": "2026-03-30"},{"start": "2026-04-05", "end": "2026-04-05"},{"start": "2026-04-06", "end": "2026-04-06"}]</v>
      </c>
    </row>
    <row r="148" spans="1:27" x14ac:dyDescent="0.2">
      <c r="A148" s="3">
        <v>46215</v>
      </c>
      <c r="B148" s="2">
        <v>623.38</v>
      </c>
      <c r="C148">
        <f t="shared" si="2"/>
        <v>60</v>
      </c>
      <c r="D148">
        <v>702.36</v>
      </c>
      <c r="F148">
        <v>147</v>
      </c>
      <c r="G148" s="3" cm="1">
        <f t="array" ref="G148:I148">TRANSPOSE(_xlfn._xlws.FILTER($A$2:$A$2000, $C$2:$C$2000=F148))</f>
        <v>46310</v>
      </c>
      <c r="H148" s="3">
        <v>46331</v>
      </c>
      <c r="I148" s="3">
        <v>46356</v>
      </c>
      <c r="AA148" t="str" cm="1">
        <f t="array" ref="AA148">_xlfn.LET(_xlpm.dates, _xlfn._xlws.FILTER(G148:Z148, G148:Z148&lt;&gt;""),_xlpm.sorted,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"&amp;F148&amp;""": ["&amp;_xlpm.result&amp;"]")</f>
        <v>"Tier 147": [{"start": "2026-10-15", "end": "2026-10-15"},{"start": "2026-11-05", "end": "2026-11-05"},{"start": "2026-11-30", "end": "2026-11-30"}]</v>
      </c>
    </row>
    <row r="149" spans="1:27" x14ac:dyDescent="0.2">
      <c r="A149" s="3">
        <v>46216</v>
      </c>
      <c r="B149" s="2">
        <v>627.19000000000005</v>
      </c>
      <c r="C149">
        <f t="shared" si="2"/>
        <v>63</v>
      </c>
      <c r="D149">
        <v>702.44</v>
      </c>
      <c r="F149">
        <v>148</v>
      </c>
      <c r="G149" s="3" cm="1">
        <f t="array" ref="G149:J149">TRANSPOSE(_xlfn._xlws.FILTER($A$2:$A$2000, $C$2:$C$2000=F149))</f>
        <v>46087</v>
      </c>
      <c r="H149" s="3">
        <v>46122</v>
      </c>
      <c r="I149" s="3">
        <v>46128</v>
      </c>
      <c r="J149" s="3">
        <v>46165</v>
      </c>
      <c r="AA149" t="str" cm="1">
        <f t="array" ref="AA149">_xlfn.LET(_xlpm.dates, _xlfn._xlws.FILTER(G149:Z149, G149:Z149&lt;&gt;""),_xlpm.sorted,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"&amp;F149&amp;""": ["&amp;_xlpm.result&amp;"]")</f>
        <v>"Tier 148": [{"start": "2026-03-06", "end": "2026-03-06"},{"start": "2026-04-10", "end": "2026-04-10"},{"start": "2026-04-16", "end": "2026-04-16"},{"start": "2026-05-23", "end": "2026-05-23"}]</v>
      </c>
    </row>
    <row r="150" spans="1:27" x14ac:dyDescent="0.2">
      <c r="A150" s="3">
        <v>46217</v>
      </c>
      <c r="B150" s="2">
        <v>634.78</v>
      </c>
      <c r="C150">
        <f t="shared" si="2"/>
        <v>66</v>
      </c>
      <c r="D150">
        <v>703.19</v>
      </c>
      <c r="F150">
        <v>149</v>
      </c>
      <c r="G150" s="3" cm="1">
        <f t="array" ref="G150">TRANSPOSE(_xlfn._xlws.FILTER($A$2:$A$2000, $C$2:$C$2000=F150))</f>
        <v>46094</v>
      </c>
      <c r="AA150" t="str" cm="1">
        <f t="array" ref="AA150">_xlfn.LET(_xlpm.dates, _xlfn._xlws.FILTER(G150:Z150, G150:Z150&lt;&gt;""),_xlpm.sorted,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"&amp;F150&amp;""": ["&amp;_xlpm.result&amp;"]")</f>
        <v>"Tier 149": [{"start": "2026-03-13", "end": "2026-03-13"}]</v>
      </c>
    </row>
    <row r="151" spans="1:27" x14ac:dyDescent="0.2">
      <c r="A151" s="3">
        <v>46218</v>
      </c>
      <c r="B151" s="2">
        <v>634.78</v>
      </c>
      <c r="C151">
        <f t="shared" si="2"/>
        <v>66</v>
      </c>
      <c r="D151">
        <v>703.97</v>
      </c>
      <c r="F151">
        <v>150</v>
      </c>
      <c r="G151" s="3" cm="1">
        <f t="array" ref="G151:L151">TRANSPOSE(_xlfn._xlws.FILTER($A$2:$A$2000, $C$2:$C$2000=F151))</f>
        <v>46088</v>
      </c>
      <c r="H151" s="3">
        <v>46091</v>
      </c>
      <c r="I151" s="3">
        <v>46109</v>
      </c>
      <c r="J151" s="3">
        <v>46112</v>
      </c>
      <c r="K151" s="3">
        <v>46116</v>
      </c>
      <c r="L151" s="3">
        <v>46119</v>
      </c>
      <c r="AA151" t="str" cm="1">
        <f t="array" ref="AA151">_xlfn.LET(_xlpm.dates, _xlfn._xlws.FILTER(G151:Z151, G151:Z151&lt;&gt;""),_xlpm.sorted,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"&amp;F151&amp;""": ["&amp;_xlpm.result&amp;"]")</f>
        <v>"Tier 150": [{"start": "2026-03-07", "end": "2026-03-07"},{"start": "2026-03-10", "end": "2026-03-10"},{"start": "2026-03-28", "end": "2026-03-28"},{"start": "2026-03-31", "end": "2026-03-31"},{"start": "2026-04-04", "end": "2026-04-04"},{"start": "2026-04-07", "end": "2026-04-07"}]</v>
      </c>
    </row>
    <row r="152" spans="1:27" x14ac:dyDescent="0.2">
      <c r="A152" s="3">
        <v>46219</v>
      </c>
      <c r="B152" s="2">
        <v>622.87</v>
      </c>
      <c r="C152">
        <f t="shared" si="2"/>
        <v>59</v>
      </c>
      <c r="D152">
        <v>704.66</v>
      </c>
      <c r="F152">
        <v>151</v>
      </c>
      <c r="G152" s="3" cm="1">
        <f t="array" ref="G152:I152">TRANSPOSE(_xlfn._xlws.FILTER($A$2:$A$2000, $C$2:$C$2000=F152))</f>
        <v>46302</v>
      </c>
      <c r="H152" s="3">
        <v>46307</v>
      </c>
      <c r="I152" s="3">
        <v>46364</v>
      </c>
      <c r="AA152" t="str" cm="1">
        <f t="array" ref="AA152">_xlfn.LET(_xlpm.dates, _xlfn._xlws.FILTER(G152:Z152, G152:Z152&lt;&gt;""),_xlpm.sorted,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"&amp;F152&amp;""": ["&amp;_xlpm.result&amp;"]")</f>
        <v>"Tier 151": [{"start": "2026-10-07", "end": "2026-10-07"},{"start": "2026-10-12", "end": "2026-10-12"},{"start": "2026-12-08", "end": "2026-12-08"}]</v>
      </c>
    </row>
    <row r="153" spans="1:27" x14ac:dyDescent="0.2">
      <c r="A153" s="3">
        <v>46220</v>
      </c>
      <c r="B153" s="2">
        <v>622.87</v>
      </c>
      <c r="C153">
        <f t="shared" si="2"/>
        <v>59</v>
      </c>
      <c r="D153">
        <v>704.72</v>
      </c>
      <c r="F153">
        <v>152</v>
      </c>
      <c r="G153" s="3" cm="1">
        <f t="array" ref="G153">TRANSPOSE(_xlfn._xlws.FILTER($A$2:$A$2000, $C$2:$C$2000=F153))</f>
        <v>46093</v>
      </c>
      <c r="AA153" t="str" cm="1">
        <f t="array" ref="AA153">_xlfn.LET(_xlpm.dates, _xlfn._xlws.FILTER(G153:Z153, G153:Z153&lt;&gt;""),_xlpm.sorted,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"&amp;F153&amp;""": ["&amp;_xlpm.result&amp;"]")</f>
        <v>"Tier 152": [{"start": "2026-03-12", "end": "2026-03-12"}]</v>
      </c>
    </row>
    <row r="154" spans="1:27" x14ac:dyDescent="0.2">
      <c r="A154" s="3">
        <v>46221</v>
      </c>
      <c r="B154" s="2">
        <v>619.12</v>
      </c>
      <c r="C154">
        <f t="shared" si="2"/>
        <v>57</v>
      </c>
      <c r="D154">
        <v>705.43</v>
      </c>
      <c r="F154">
        <v>153</v>
      </c>
      <c r="G154" s="3" cm="1">
        <f t="array" ref="G154:J154">TRANSPOSE(_xlfn._xlws.FILTER($A$2:$A$2000, $C$2:$C$2000=F154))</f>
        <v>46306</v>
      </c>
      <c r="H154" s="3">
        <v>46308</v>
      </c>
      <c r="I154" s="3">
        <v>46337</v>
      </c>
      <c r="J154" s="3">
        <v>46361</v>
      </c>
      <c r="AA154" t="str" cm="1">
        <f t="array" ref="AA154">_xlfn.LET(_xlpm.dates, _xlfn._xlws.FILTER(G154:Z154, G154:Z154&lt;&gt;""),_xlpm.sorted,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"&amp;F154&amp;""": ["&amp;_xlpm.result&amp;"]")</f>
        <v>"Tier 153": [{"start": "2026-10-11", "end": "2026-10-11"},{"start": "2026-10-13", "end": "2026-10-13"},{"start": "2026-11-11", "end": "2026-11-11"},{"start": "2026-12-05", "end": "2026-12-05"}]</v>
      </c>
    </row>
    <row r="155" spans="1:27" x14ac:dyDescent="0.2">
      <c r="A155" s="3">
        <v>46222</v>
      </c>
      <c r="B155" s="2">
        <v>615.37</v>
      </c>
      <c r="C155">
        <f t="shared" si="2"/>
        <v>55</v>
      </c>
      <c r="D155">
        <v>705.47</v>
      </c>
      <c r="F155">
        <v>154</v>
      </c>
      <c r="G155" s="3" cm="1">
        <f t="array" ref="G155">TRANSPOSE(_xlfn._xlws.FILTER($A$2:$A$2000, $C$2:$C$2000=F155))</f>
        <v>46164</v>
      </c>
      <c r="AA155" t="str" cm="1">
        <f t="array" ref="AA155">_xlfn.LET(_xlpm.dates, _xlfn._xlws.FILTER(G155:Z155, G155:Z155&lt;&gt;""),_xlpm.sorted,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"&amp;F155&amp;""": ["&amp;_xlpm.result&amp;"]")</f>
        <v>"Tier 154": [{"start": "2026-05-22", "end": "2026-05-22"}]</v>
      </c>
    </row>
    <row r="156" spans="1:27" x14ac:dyDescent="0.2">
      <c r="A156" s="3">
        <v>46223</v>
      </c>
      <c r="B156" s="2">
        <v>619.12</v>
      </c>
      <c r="C156">
        <f t="shared" si="2"/>
        <v>57</v>
      </c>
      <c r="D156">
        <v>706.18</v>
      </c>
      <c r="F156">
        <v>155</v>
      </c>
      <c r="G156" s="3" cm="1">
        <f t="array" ref="G156:H156">TRANSPOSE(_xlfn._xlws.FILTER($A$2:$A$2000, $C$2:$C$2000=F156))</f>
        <v>46309</v>
      </c>
      <c r="H156" s="3">
        <v>46355</v>
      </c>
      <c r="AA156" t="str" cm="1">
        <f t="array" ref="AA156">_xlfn.LET(_xlpm.dates, _xlfn._xlws.FILTER(G156:Z156, G156:Z156&lt;&gt;""),_xlpm.sorted,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"&amp;F156&amp;""": ["&amp;_xlpm.result&amp;"]")</f>
        <v>"Tier 155": [{"start": "2026-10-14", "end": "2026-10-14"},{"start": "2026-11-29", "end": "2026-11-29"}]</v>
      </c>
    </row>
    <row r="157" spans="1:27" x14ac:dyDescent="0.2">
      <c r="A157" s="3">
        <v>46224</v>
      </c>
      <c r="B157" s="2">
        <v>626.62</v>
      </c>
      <c r="C157">
        <f t="shared" si="2"/>
        <v>62</v>
      </c>
      <c r="D157">
        <v>706.25</v>
      </c>
      <c r="F157">
        <v>156</v>
      </c>
      <c r="G157" s="3" cm="1">
        <f t="array" ref="G157:M157">TRANSPOSE(_xlfn._xlws.FILTER($A$2:$A$2000, $C$2:$C$2000=F157))</f>
        <v>46092</v>
      </c>
      <c r="H157" s="3">
        <v>46113</v>
      </c>
      <c r="I157" s="3">
        <v>46114</v>
      </c>
      <c r="J157" s="3">
        <v>46115</v>
      </c>
      <c r="K157" s="3">
        <v>46120</v>
      </c>
      <c r="L157" s="3">
        <v>46121</v>
      </c>
      <c r="M157" s="3">
        <v>46129</v>
      </c>
      <c r="AA157" t="str" cm="1">
        <f t="array" ref="AA157">_xlfn.LET(_xlpm.dates, _xlfn._xlws.FILTER(G157:Z157, G157:Z157&lt;&gt;""),_xlpm.sorted,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"&amp;F157&amp;""": ["&amp;_xlpm.result&amp;"]")</f>
        <v>"Tier 156": [{"start": "2026-03-11", "end": "2026-03-11"},{"start": "2026-04-01", "end": "2026-04-01"},{"start": "2026-04-02", "end": "2026-04-02"},{"start": "2026-04-03", "end": "2026-04-03"},{"start": "2026-04-08", "end": "2026-04-08"},{"start": "2026-04-09", "end": "2026-04-09"},{"start": "2026-04-17", "end": "2026-04-17"}]</v>
      </c>
    </row>
    <row r="158" spans="1:27" x14ac:dyDescent="0.2">
      <c r="A158" s="3">
        <v>46225</v>
      </c>
      <c r="B158" s="2">
        <v>630.37</v>
      </c>
      <c r="C158">
        <f t="shared" si="2"/>
        <v>64</v>
      </c>
      <c r="D158">
        <v>706.97</v>
      </c>
      <c r="F158">
        <v>157</v>
      </c>
      <c r="G158" s="3" cm="1">
        <f t="array" ref="G158">TRANSPOSE(_xlfn._xlws.FILTER($A$2:$A$2000, $C$2:$C$2000=F158))</f>
        <v>46303</v>
      </c>
      <c r="AA158" t="str" cm="1">
        <f t="array" ref="AA158">_xlfn.LET(_xlpm.dates, _xlfn._xlws.FILTER(G158:Z158, G158:Z158&lt;&gt;""),_xlpm.sorted,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"&amp;F158&amp;""": ["&amp;_xlpm.result&amp;"]")</f>
        <v>"Tier 157": [{"start": "2026-10-08", "end": "2026-10-08"}]</v>
      </c>
    </row>
    <row r="159" spans="1:27" x14ac:dyDescent="0.2">
      <c r="A159" s="3">
        <v>46226</v>
      </c>
      <c r="B159" s="2">
        <v>626.62</v>
      </c>
      <c r="C159">
        <f t="shared" si="2"/>
        <v>62</v>
      </c>
      <c r="D159">
        <v>708.47</v>
      </c>
      <c r="F159">
        <v>158</v>
      </c>
      <c r="G159" s="3" cm="1">
        <f t="array" ref="G159">TRANSPOSE(_xlfn._xlws.FILTER($A$2:$A$2000, $C$2:$C$2000=F159))</f>
        <v>46357</v>
      </c>
      <c r="AA159" t="str" cm="1">
        <f t="array" ref="AA159">_xlfn.LET(_xlpm.dates, _xlfn._xlws.FILTER(G159:Z159, G159:Z159&lt;&gt;""),_xlpm.sorted,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"&amp;F159&amp;""": ["&amp;_xlpm.result&amp;"]")</f>
        <v>"Tier 158": [{"start": "2026-12-01", "end": "2026-12-01"}]</v>
      </c>
    </row>
    <row r="160" spans="1:27" x14ac:dyDescent="0.2">
      <c r="A160" s="3">
        <v>46227</v>
      </c>
      <c r="B160" s="2">
        <v>622.87</v>
      </c>
      <c r="C160">
        <f t="shared" si="2"/>
        <v>59</v>
      </c>
      <c r="D160">
        <v>709.26</v>
      </c>
      <c r="F160">
        <v>159</v>
      </c>
      <c r="G160" s="3" cm="1">
        <f t="array" ref="G160:J160">TRANSPOSE(_xlfn._xlws.FILTER($A$2:$A$2000, $C$2:$C$2000=F160))</f>
        <v>46358</v>
      </c>
      <c r="H160" s="3">
        <v>46359</v>
      </c>
      <c r="I160" s="3">
        <v>46360</v>
      </c>
      <c r="J160" s="3">
        <v>46365</v>
      </c>
      <c r="AA160" t="str" cm="1">
        <f t="array" ref="AA160">_xlfn.LET(_xlpm.dates, _xlfn._xlws.FILTER(G160:Z160, G160:Z160&lt;&gt;""),_xlpm.sorted,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"&amp;F160&amp;""": ["&amp;_xlpm.result&amp;"]")</f>
        <v>"Tier 159": [{"start": "2026-12-02", "end": "2026-12-02"},{"start": "2026-12-03", "end": "2026-12-03"},{"start": "2026-12-04", "end": "2026-12-04"},{"start": "2026-12-09", "end": "2026-12-09"}]</v>
      </c>
    </row>
    <row r="161" spans="1:27" x14ac:dyDescent="0.2">
      <c r="A161" s="3">
        <v>46228</v>
      </c>
      <c r="B161" s="2">
        <v>615.37</v>
      </c>
      <c r="C161">
        <f t="shared" si="2"/>
        <v>55</v>
      </c>
      <c r="D161">
        <v>710.78</v>
      </c>
      <c r="F161">
        <v>160</v>
      </c>
      <c r="G161" s="3" cm="1">
        <f t="array" ref="G161">TRANSPOSE(_xlfn._xlws.FILTER($A$2:$A$2000, $C$2:$C$2000=F161))</f>
        <v>46305</v>
      </c>
      <c r="AA161" t="str" cm="1">
        <f t="array" ref="AA161">_xlfn.LET(_xlpm.dates, _xlfn._xlws.FILTER(G161:Z161, G161:Z161&lt;&gt;""),_xlpm.sorted,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"&amp;F161&amp;""": ["&amp;_xlpm.result&amp;"]")</f>
        <v>"Tier 160": [{"start": "2026-10-10", "end": "2026-10-10"}]</v>
      </c>
    </row>
    <row r="162" spans="1:27" x14ac:dyDescent="0.2">
      <c r="A162" s="3">
        <v>46229</v>
      </c>
      <c r="B162" s="1">
        <v>607.86</v>
      </c>
      <c r="C162">
        <f t="shared" si="2"/>
        <v>53</v>
      </c>
      <c r="D162">
        <v>711.54</v>
      </c>
      <c r="F162">
        <v>161</v>
      </c>
      <c r="G162" s="3" cm="1">
        <f t="array" ref="G162">TRANSPOSE(_xlfn._xlws.FILTER($A$2:$A$2000, $C$2:$C$2000=F162))</f>
        <v>46338</v>
      </c>
      <c r="AA162" t="str" cm="1">
        <f t="array" ref="AA162">_xlfn.LET(_xlpm.dates, _xlfn._xlws.FILTER(G162:Z162, G162:Z162&lt;&gt;""),_xlpm.sorted,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"&amp;F162&amp;""": ["&amp;_xlpm.result&amp;"]")</f>
        <v>"Tier 161": [{"start": "2026-11-12", "end": "2026-11-12"}]</v>
      </c>
    </row>
    <row r="163" spans="1:27" x14ac:dyDescent="0.2">
      <c r="A163" s="3">
        <v>46230</v>
      </c>
      <c r="B163" s="1">
        <v>608.62</v>
      </c>
      <c r="C163">
        <f t="shared" si="2"/>
        <v>54</v>
      </c>
      <c r="D163">
        <v>713.07</v>
      </c>
      <c r="F163">
        <v>162</v>
      </c>
      <c r="G163" s="3" cm="1">
        <f t="array" ref="G163">TRANSPOSE(_xlfn._xlws.FILTER($A$2:$A$2000, $C$2:$C$2000=F163))</f>
        <v>46366</v>
      </c>
      <c r="AA163" t="str" cm="1">
        <f t="array" ref="AA163">_xlfn.LET(_xlpm.dates, _xlfn._xlws.FILTER(G163:Z163, G163:Z163&lt;&gt;""),_xlpm.sorted,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"&amp;F163&amp;""": ["&amp;_xlpm.result&amp;"]")</f>
        <v>"Tier 162": [{"start": "2026-12-10", "end": "2026-12-10"}]</v>
      </c>
    </row>
    <row r="164" spans="1:27" x14ac:dyDescent="0.2">
      <c r="A164" s="3">
        <v>46231</v>
      </c>
      <c r="B164" s="1">
        <v>616.87</v>
      </c>
      <c r="C164">
        <f t="shared" si="2"/>
        <v>56</v>
      </c>
      <c r="D164">
        <v>714.61</v>
      </c>
      <c r="F164">
        <v>163</v>
      </c>
      <c r="G164" s="3" cm="1">
        <f t="array" ref="G164">TRANSPOSE(_xlfn._xlws.FILTER($A$2:$A$2000, $C$2:$C$2000=F164))</f>
        <v>46304</v>
      </c>
      <c r="AA164" t="str" cm="1">
        <f t="array" ref="AA164">_xlfn.LET(_xlpm.dates, _xlfn._xlws.FILTER(G164:Z164, G164:Z164&lt;&gt;""),_xlpm.sorted,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"&amp;F164&amp;""": ["&amp;_xlpm.result&amp;"]")</f>
        <v>"Tier 163": [{"start": "2026-10-09", "end": "2026-10-09"}]</v>
      </c>
    </row>
    <row r="165" spans="1:27" x14ac:dyDescent="0.2">
      <c r="A165" s="3">
        <v>46232</v>
      </c>
      <c r="B165" s="1">
        <v>621.37</v>
      </c>
      <c r="C165">
        <f t="shared" si="2"/>
        <v>58</v>
      </c>
      <c r="D165">
        <v>715.38</v>
      </c>
      <c r="F165">
        <v>164</v>
      </c>
      <c r="G165" s="3" cm="1">
        <f t="array" ref="G165">TRANSPOSE(_xlfn._xlws.FILTER($A$2:$A$2000, $C$2:$C$2000=F165))</f>
        <v>46354</v>
      </c>
      <c r="AA165" t="str" cm="1">
        <f t="array" ref="AA165">_xlfn.LET(_xlpm.dates, _xlfn._xlws.FILTER(G165:Z165, G165:Z165&lt;&gt;""),_xlpm.sorted,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"&amp;F165&amp;""": ["&amp;_xlpm.result&amp;"]")</f>
        <v>"Tier 164": [{"start": "2026-11-28", "end": "2026-11-28"}]</v>
      </c>
    </row>
    <row r="166" spans="1:27" x14ac:dyDescent="0.2">
      <c r="A166" s="3">
        <v>46233</v>
      </c>
      <c r="B166" s="1">
        <v>619.12</v>
      </c>
      <c r="C166">
        <f t="shared" si="2"/>
        <v>57</v>
      </c>
      <c r="D166">
        <v>716.91</v>
      </c>
      <c r="F166">
        <v>165</v>
      </c>
      <c r="G166" s="3" cm="1">
        <f t="array" ref="G166">TRANSPOSE(_xlfn._xlws.FILTER($A$2:$A$2000, $C$2:$C$2000=F166))</f>
        <v>46367</v>
      </c>
      <c r="AA166" t="str" cm="1">
        <f t="array" ref="AA166">_xlfn.LET(_xlpm.dates, _xlfn._xlws.FILTER(G166:Z166, G166:Z166&lt;&gt;""),_xlpm.sorted,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"&amp;F166&amp;""": ["&amp;_xlpm.result&amp;"]")</f>
        <v>"Tier 165": [{"start": "2026-12-11", "end": "2026-12-11"}]</v>
      </c>
    </row>
    <row r="167" spans="1:27" x14ac:dyDescent="0.2">
      <c r="A167" s="3">
        <v>46234</v>
      </c>
      <c r="B167" s="1">
        <v>616.87</v>
      </c>
      <c r="C167">
        <f t="shared" si="2"/>
        <v>56</v>
      </c>
      <c r="D167">
        <v>717.67</v>
      </c>
      <c r="F167">
        <v>166</v>
      </c>
      <c r="G167" s="3" cm="1">
        <f t="array" ref="G167:I167">TRANSPOSE(_xlfn._xlws.FILTER($A$2:$A$2000, $C$2:$C$2000=F167))</f>
        <v>46339</v>
      </c>
      <c r="H167" s="3">
        <v>46369</v>
      </c>
      <c r="I167" s="3">
        <v>46370</v>
      </c>
      <c r="AA167" t="str" cm="1">
        <f t="array" ref="AA167">_xlfn.LET(_xlpm.dates, _xlfn._xlws.FILTER(G167:Z167, G167:Z167&lt;&gt;""),_xlpm.sorted,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"&amp;F167&amp;""": ["&amp;_xlpm.result&amp;"]")</f>
        <v>"Tier 166": [{"start": "2026-11-13", "end": "2026-11-13"},{"start": "2026-12-13", "end": "2026-12-13"},{"start": "2026-12-14", "end": "2026-12-14"}]</v>
      </c>
    </row>
    <row r="168" spans="1:27" x14ac:dyDescent="0.2">
      <c r="A168" s="3">
        <v>46235</v>
      </c>
      <c r="B168" s="2">
        <v>606.37</v>
      </c>
      <c r="C168">
        <f t="shared" si="2"/>
        <v>52</v>
      </c>
      <c r="D168">
        <v>718.43</v>
      </c>
      <c r="F168">
        <v>167</v>
      </c>
      <c r="G168" s="3" cm="1">
        <f t="array" ref="G168:H168">TRANSPOSE(_xlfn._xlws.FILTER($A$2:$A$2000, $C$2:$C$2000=F168))</f>
        <v>46341</v>
      </c>
      <c r="H168" s="3">
        <v>46342</v>
      </c>
      <c r="AA168" t="str" cm="1">
        <f t="array" ref="AA168">_xlfn.LET(_xlpm.dates, _xlfn._xlws.FILTER(G168:Z168, G168:Z168&lt;&gt;""),_xlpm.sorted,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"&amp;F168&amp;""": ["&amp;_xlpm.result&amp;"]")</f>
        <v>"Tier 167": [{"start": "2026-11-15", "end": "2026-11-15"},{"start": "2026-11-16", "end": "2026-11-16"}]</v>
      </c>
    </row>
    <row r="169" spans="1:27" x14ac:dyDescent="0.2">
      <c r="A169" s="3">
        <v>46236</v>
      </c>
      <c r="B169" s="2">
        <v>592.09</v>
      </c>
      <c r="C169">
        <f t="shared" si="2"/>
        <v>51</v>
      </c>
      <c r="D169">
        <v>720.73</v>
      </c>
      <c r="F169">
        <v>168</v>
      </c>
      <c r="G169" s="3" cm="1">
        <f t="array" ref="G169">TRANSPOSE(_xlfn._xlws.FILTER($A$2:$A$2000, $C$2:$C$2000=F169))</f>
        <v>46368</v>
      </c>
      <c r="AA169" t="str" cm="1">
        <f t="array" ref="AA169">_xlfn.LET(_xlpm.dates, _xlfn._xlws.FILTER(G169:Z169, G169:Z169&lt;&gt;""),_xlpm.sorted,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"&amp;F169&amp;""": ["&amp;_xlpm.result&amp;"]")</f>
        <v>"Tier 168": [{"start": "2026-12-12", "end": "2026-12-12"}]</v>
      </c>
    </row>
    <row r="170" spans="1:27" x14ac:dyDescent="0.2">
      <c r="A170" s="3">
        <v>46237</v>
      </c>
      <c r="B170" s="2">
        <v>581.6</v>
      </c>
      <c r="C170">
        <f t="shared" si="2"/>
        <v>43</v>
      </c>
      <c r="D170">
        <v>721.48</v>
      </c>
      <c r="F170">
        <v>169</v>
      </c>
      <c r="G170" s="3" cm="1">
        <f t="array" ref="G170">TRANSPOSE(_xlfn._xlws.FILTER($A$2:$A$2000, $C$2:$C$2000=F170))</f>
        <v>46340</v>
      </c>
      <c r="AA170" t="str" cm="1">
        <f t="array" ref="AA170">_xlfn.LET(_xlpm.dates, _xlfn._xlws.FILTER(G170:Z170, G170:Z170&lt;&gt;""),_xlpm.sorted,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"&amp;F170&amp;""": ["&amp;_xlpm.result&amp;"]")</f>
        <v>"Tier 169": [{"start": "2026-11-14", "end": "2026-11-14"}]</v>
      </c>
    </row>
    <row r="171" spans="1:27" x14ac:dyDescent="0.2">
      <c r="A171" s="3">
        <v>46238</v>
      </c>
      <c r="B171" s="2">
        <v>587.6</v>
      </c>
      <c r="C171">
        <f t="shared" si="2"/>
        <v>48</v>
      </c>
      <c r="D171">
        <v>722.27</v>
      </c>
      <c r="F171">
        <v>170</v>
      </c>
      <c r="G171" s="3" cm="1">
        <f t="array" ref="G171:H171">TRANSPOSE(_xlfn._xlws.FILTER($A$2:$A$2000, $C$2:$C$2000=F171))</f>
        <v>46343</v>
      </c>
      <c r="H171" s="3">
        <v>46371</v>
      </c>
      <c r="AA171" t="str" cm="1">
        <f t="array" ref="AA171">_xlfn.LET(_xlpm.dates, _xlfn._xlws.FILTER(G171:Z171, G171:Z171&lt;&gt;""),_xlpm.sorted,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"&amp;F171&amp;""": ["&amp;_xlpm.result&amp;"]")</f>
        <v>"Tier 170": [{"start": "2026-11-17", "end": "2026-11-17"},{"start": "2026-12-15", "end": "2026-12-15"}]</v>
      </c>
    </row>
    <row r="172" spans="1:27" x14ac:dyDescent="0.2">
      <c r="A172" s="3">
        <v>46239</v>
      </c>
      <c r="B172" s="2">
        <v>589.87</v>
      </c>
      <c r="C172">
        <f t="shared" si="2"/>
        <v>49</v>
      </c>
      <c r="D172">
        <v>723.02</v>
      </c>
      <c r="F172">
        <v>171</v>
      </c>
      <c r="G172" s="3" cm="1">
        <f t="array" ref="G172:H172">TRANSPOSE(_xlfn._xlws.FILTER($A$2:$A$2000, $C$2:$C$2000=F172))</f>
        <v>46344</v>
      </c>
      <c r="H172" s="3">
        <v>46353</v>
      </c>
      <c r="AA172" t="str" cm="1">
        <f t="array" ref="AA172">_xlfn.LET(_xlpm.dates, _xlfn._xlws.FILTER(G172:Z172, G172:Z172&lt;&gt;""),_xlpm.sorted,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"&amp;F172&amp;""": ["&amp;_xlpm.result&amp;"]")</f>
        <v>"Tier 171": [{"start": "2026-11-18", "end": "2026-11-18"},{"start": "2026-11-27", "end": "2026-11-27"}]</v>
      </c>
    </row>
    <row r="173" spans="1:27" x14ac:dyDescent="0.2">
      <c r="A173" s="3">
        <v>46240</v>
      </c>
      <c r="B173" s="2">
        <v>589.87</v>
      </c>
      <c r="C173">
        <f t="shared" si="2"/>
        <v>49</v>
      </c>
      <c r="D173">
        <v>726.84</v>
      </c>
      <c r="F173">
        <v>172</v>
      </c>
      <c r="G173" s="3" cm="1">
        <f t="array" ref="G173">TRANSPOSE(_xlfn._xlws.FILTER($A$2:$A$2000, $C$2:$C$2000=F173))</f>
        <v>46372</v>
      </c>
      <c r="AA173" t="str" cm="1">
        <f t="array" ref="AA173">_xlfn.LET(_xlpm.dates, _xlfn._xlws.FILTER(G173:Z173, G173:Z173&lt;&gt;""),_xlpm.sorted,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"&amp;F173&amp;""": ["&amp;_xlpm.result&amp;"]")</f>
        <v>"Tier 172": [{"start": "2026-12-16", "end": "2026-12-16"}]</v>
      </c>
    </row>
    <row r="174" spans="1:27" x14ac:dyDescent="0.2">
      <c r="A174" s="3">
        <v>46241</v>
      </c>
      <c r="B174" s="2">
        <v>585.35</v>
      </c>
      <c r="C174">
        <f t="shared" si="2"/>
        <v>46</v>
      </c>
      <c r="D174">
        <v>727.61</v>
      </c>
      <c r="F174">
        <v>173</v>
      </c>
      <c r="G174" s="3" cm="1">
        <f t="array" ref="G174">TRANSPOSE(_xlfn._xlws.FILTER($A$2:$A$2000, $C$2:$C$2000=F174))</f>
        <v>46345</v>
      </c>
      <c r="AA174" t="str" cm="1">
        <f t="array" ref="AA174">_xlfn.LET(_xlpm.dates, _xlfn._xlws.FILTER(G174:Z174, G174:Z174&lt;&gt;""),_xlpm.sorted,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"&amp;F174&amp;""": ["&amp;_xlpm.result&amp;"]")</f>
        <v>"Tier 173": [{"start": "2026-11-19", "end": "2026-11-19"}]</v>
      </c>
    </row>
    <row r="175" spans="1:27" x14ac:dyDescent="0.2">
      <c r="A175" s="3">
        <v>46242</v>
      </c>
      <c r="B175" s="2">
        <v>582.34</v>
      </c>
      <c r="C175">
        <f t="shared" si="2"/>
        <v>44</v>
      </c>
      <c r="D175">
        <v>730.68</v>
      </c>
      <c r="F175">
        <v>174</v>
      </c>
      <c r="G175" s="3" cm="1">
        <f t="array" ref="G175">TRANSPOSE(_xlfn._xlws.FILTER($A$2:$A$2000, $C$2:$C$2000=F175))</f>
        <v>46373</v>
      </c>
      <c r="AA175" t="str" cm="1">
        <f t="array" ref="AA175">_xlfn.LET(_xlpm.dates, _xlfn._xlws.FILTER(G175:Z175, G175:Z175&lt;&gt;""),_xlpm.sorted,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"&amp;F175&amp;""": ["&amp;_xlpm.result&amp;"]")</f>
        <v>"Tier 174": [{"start": "2026-12-17", "end": "2026-12-17"}]</v>
      </c>
    </row>
    <row r="176" spans="1:27" x14ac:dyDescent="0.2">
      <c r="A176" s="3">
        <v>46243</v>
      </c>
      <c r="B176" s="2">
        <v>572.59</v>
      </c>
      <c r="C176">
        <f t="shared" si="2"/>
        <v>40</v>
      </c>
      <c r="D176">
        <v>736.13</v>
      </c>
      <c r="F176">
        <v>175</v>
      </c>
      <c r="G176" s="3" cm="1">
        <f t="array" ref="G176:I176">TRANSPOSE(_xlfn._xlws.FILTER($A$2:$A$2000, $C$2:$C$2000=F176))</f>
        <v>46346</v>
      </c>
      <c r="H176" s="3">
        <v>46347</v>
      </c>
      <c r="I176" s="3">
        <v>46348</v>
      </c>
      <c r="AA176" t="str" cm="1">
        <f t="array" ref="AA176">_xlfn.LET(_xlpm.dates, _xlfn._xlws.FILTER(G176:Z176, G176:Z176&lt;&gt;""),_xlpm.sorted,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"&amp;F176&amp;""": ["&amp;_xlpm.result&amp;"]")</f>
        <v>"Tier 175": [{"start": "2026-11-20", "end": "2026-11-20"},{"start": "2026-11-21", "end": "2026-11-21"},{"start": "2026-11-22", "end": "2026-11-22"}]</v>
      </c>
    </row>
    <row r="177" spans="1:28" x14ac:dyDescent="0.2">
      <c r="A177" s="3">
        <v>46244</v>
      </c>
      <c r="B177" s="2">
        <v>569.11</v>
      </c>
      <c r="C177">
        <f t="shared" si="2"/>
        <v>39</v>
      </c>
      <c r="D177">
        <v>738.43</v>
      </c>
      <c r="F177">
        <v>176</v>
      </c>
      <c r="G177" s="3" cm="1">
        <f t="array" ref="G177">TRANSPOSE(_xlfn._xlws.FILTER($A$2:$A$2000, $C$2:$C$2000=F177))</f>
        <v>46387</v>
      </c>
      <c r="AA177" t="str" cm="1">
        <f t="array" ref="AA177">_xlfn.LET(_xlpm.dates, _xlfn._xlws.FILTER(G177:Z177, G177:Z177&lt;&gt;""),_xlpm.sorted,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"&amp;F177&amp;""": ["&amp;_xlpm.result&amp;"]")</f>
        <v>"Tier 176": [{"start": "2026-12-31", "end": "2026-12-31"}]</v>
      </c>
    </row>
    <row r="178" spans="1:28" x14ac:dyDescent="0.2">
      <c r="A178" s="3">
        <v>46245</v>
      </c>
      <c r="B178" s="2">
        <v>576.61</v>
      </c>
      <c r="C178">
        <f t="shared" si="2"/>
        <v>41</v>
      </c>
      <c r="D178">
        <v>739.99</v>
      </c>
      <c r="F178">
        <v>177</v>
      </c>
      <c r="G178" s="3" cm="1">
        <f t="array" ref="G178:I178">TRANSPOSE(_xlfn._xlws.FILTER($A$2:$A$2000, $C$2:$C$2000=F178))</f>
        <v>46349</v>
      </c>
      <c r="H178" s="3">
        <v>46350</v>
      </c>
      <c r="I178" s="3">
        <v>46352</v>
      </c>
      <c r="AA178" t="str" cm="1">
        <f t="array" ref="AA178">_xlfn.LET(_xlpm.dates, _xlfn._xlws.FILTER(G178:Z178, G178:Z178&lt;&gt;""),_xlpm.sorted,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"&amp;F178&amp;""": ["&amp;_xlpm.result&amp;"]")</f>
        <v>"Tier 177": [{"start": "2026-11-23", "end": "2026-11-23"},{"start": "2026-11-24", "end": "2026-11-24"},{"start": "2026-11-26", "end": "2026-11-26"}]</v>
      </c>
    </row>
    <row r="179" spans="1:28" x14ac:dyDescent="0.2">
      <c r="A179" s="3">
        <v>46246</v>
      </c>
      <c r="B179" s="2">
        <v>583.34</v>
      </c>
      <c r="C179">
        <f t="shared" si="2"/>
        <v>45</v>
      </c>
      <c r="D179">
        <v>743.87</v>
      </c>
      <c r="F179">
        <v>178</v>
      </c>
      <c r="G179" s="3" cm="1">
        <f t="array" ref="G179:H179">TRANSPOSE(_xlfn._xlws.FILTER($A$2:$A$2000, $C$2:$C$2000=F179))</f>
        <v>46351</v>
      </c>
      <c r="H179" s="3">
        <v>46374</v>
      </c>
      <c r="AA179" t="str" cm="1">
        <f t="array" ref="AA179">_xlfn.LET(_xlpm.dates, _xlfn._xlws.FILTER(G179:Z179, G179:Z179&lt;&gt;""),_xlpm.sorted,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"&amp;F179&amp;""": ["&amp;_xlpm.result&amp;"]")</f>
        <v>"Tier 178": [{"start": "2026-11-25", "end": "2026-11-25"},{"start": "2026-12-18", "end": "2026-12-18"}]</v>
      </c>
    </row>
    <row r="180" spans="1:28" x14ac:dyDescent="0.2">
      <c r="A180" s="3">
        <v>46247</v>
      </c>
      <c r="B180" s="2">
        <v>586.34</v>
      </c>
      <c r="C180">
        <f t="shared" si="2"/>
        <v>47</v>
      </c>
      <c r="D180">
        <v>746.95</v>
      </c>
      <c r="F180">
        <v>179</v>
      </c>
      <c r="G180" s="3" cm="1">
        <f t="array" ref="G180">TRANSPOSE(_xlfn._xlws.FILTER($A$2:$A$2000, $C$2:$C$2000=F180))</f>
        <v>46386</v>
      </c>
      <c r="AA180" t="str" cm="1">
        <f t="array" ref="AA180">_xlfn.LET(_xlpm.dates, _xlfn._xlws.FILTER(G180:Z180, G180:Z180&lt;&gt;""),_xlpm.sorted,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"&amp;F180&amp;""": ["&amp;_xlpm.result&amp;"]")</f>
        <v>"Tier 179": [{"start": "2026-12-30", "end": "2026-12-30"}]</v>
      </c>
    </row>
    <row r="181" spans="1:28" x14ac:dyDescent="0.2">
      <c r="A181" s="3">
        <v>46248</v>
      </c>
      <c r="B181" s="2">
        <v>568.09</v>
      </c>
      <c r="C181">
        <f t="shared" si="2"/>
        <v>38</v>
      </c>
      <c r="D181">
        <v>748.5</v>
      </c>
      <c r="F181">
        <v>180</v>
      </c>
      <c r="G181" s="3" cm="1">
        <f t="array" ref="G181:H181">TRANSPOSE(_xlfn._xlws.FILTER($A$2:$A$2000, $C$2:$C$2000=F181))</f>
        <v>46375</v>
      </c>
      <c r="H181" s="3">
        <v>46376</v>
      </c>
      <c r="AA181" t="str" cm="1">
        <f t="array" ref="AA181">_xlfn.LET(_xlpm.dates, _xlfn._xlws.FILTER(G181:Z181, G181:Z181&lt;&gt;""),_xlpm.sorted,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"&amp;F181&amp;""": ["&amp;_xlpm.result&amp;"]")</f>
        <v>"Tier 180": [{"start": "2026-12-19", "end": "2026-12-19"},{"start": "2026-12-20", "end": "2026-12-20"}]</v>
      </c>
    </row>
    <row r="182" spans="1:28" x14ac:dyDescent="0.2">
      <c r="A182" s="3">
        <v>46249</v>
      </c>
      <c r="B182" s="2">
        <v>553.09</v>
      </c>
      <c r="C182">
        <f t="shared" si="2"/>
        <v>32</v>
      </c>
      <c r="D182">
        <v>749.27</v>
      </c>
      <c r="F182">
        <v>181</v>
      </c>
      <c r="G182" s="3" cm="1">
        <f t="array" ref="G182">TRANSPOSE(_xlfn._xlws.FILTER($A$2:$A$2000, $C$2:$C$2000=F182))</f>
        <v>46377</v>
      </c>
    </row>
    <row r="183" spans="1:28" x14ac:dyDescent="0.2">
      <c r="A183" s="3">
        <v>46250</v>
      </c>
      <c r="B183" s="2">
        <v>527.57000000000005</v>
      </c>
      <c r="C183">
        <f t="shared" si="2"/>
        <v>17</v>
      </c>
      <c r="D183">
        <v>750.04</v>
      </c>
      <c r="F183">
        <v>182</v>
      </c>
    </row>
    <row r="184" spans="1:28" x14ac:dyDescent="0.2">
      <c r="A184" s="3">
        <v>46251</v>
      </c>
      <c r="B184" s="2">
        <v>506.55</v>
      </c>
      <c r="C184">
        <f t="shared" si="2"/>
        <v>4</v>
      </c>
      <c r="D184">
        <v>751.6</v>
      </c>
      <c r="F184">
        <v>183</v>
      </c>
    </row>
    <row r="185" spans="1:28" x14ac:dyDescent="0.2">
      <c r="A185" s="3">
        <v>46252</v>
      </c>
      <c r="B185" s="2">
        <v>498.72</v>
      </c>
      <c r="C185">
        <f t="shared" si="2"/>
        <v>1</v>
      </c>
      <c r="D185">
        <v>752.36</v>
      </c>
      <c r="F185">
        <v>184</v>
      </c>
      <c r="AB185" t="str">
        <f>"{" &amp; _xlfn.TEXTJOIN(",", TRUE, AA2:AA250) &amp; "}"</f>
        <v>{"Tier 1": [{"start": "2026-08-18", "end": "2026-08-18"}],"Tier 2": [{"start": "2026-09-08", "end": "2026-09-08"}],"Tier 3": [{"start": "2026-08-20", "end": "2026-08-20"}],"Tier 4": [{"start": "2026-08-17", "end": "2026-08-17"}],"Tier 5": [{"start": "2026-09-09", "end": "2026-09-09"}],"Tier 6": [{"start": "2026-08-19", "end": "2026-08-19"},{"start": "2026-08-21", "end": "2026-08-21"}],"Tier 7": [{"start": "2026-09-07", "end": "2026-09-07"}],"Tier 8": [{"start": "2026-09-13", "end": "2026-09-13"}],"Tier 9": [{"start": "2026-09-10", "end": "2026-09-10"}],"Tier 10": [{"start": "2026-09-14", "end": "2026-09-14"}],"Tier 11": [{"start": "2026-09-12", "end": "2026-09-12"}],"Tier 12": [{"start": "2026-09-11", "end": "2026-09-11"}],"Tier 13": [{"start": "2026-08-22", "end": "2026-08-22"},{"start": "2026-08-23", "end": "2026-08-23"}],"Tier 14": [{"start": "2026-08-24", "end": "2026-08-24"}],"Tier 15": [{"start": "2026-09-06", "end": "2026-09-06"}],"Tier 16": [{"start": "2026-09-15", "end": "2026-09-15"}],"Tier 17": [{"start": "2026-08-16", "end": "2026-08-16"}],"Tier 18": [{"start": "2026-09-01", "end": "2026-09-01"}],"Tier 19": [{"start": "2026-08-31", "end": "2026-08-31"},{"start": "2026-09-20", "end": "2026-09-20"}],"Tier 20": [{"start": "2026-08-30", "end": "2026-08-30"}],"Tier 21": [{"start": "2026-09-21", "end": "2026-09-21"}],"Tier 22": [{"start": "2026-09-16", "end": "2026-09-16"}],"Tier 23": [{"start": "2026-09-19", "end": "2026-09-19"}],"Tier 24": [{"start": "2026-08-25", "end": "2026-08-25"}],"Tier 25": [{"start": "2026-09-05", "end": "2026-09-05"}],"Tier 26": [{"start": "2026-09-02", "end": "2026-09-02"},{"start": "2026-09-17", "end": "2026-09-17"}],"Tier 27": [{"start": "2026-09-22", "end": "2026-09-22"}],"Tier 28": [{"start": "2026-09-18", "end": "2026-09-18"}],"Tier 29": [{"start": "2026-08-29", "end": "2026-08-29"}],"Tier 30": [{"start": "2026-08-26", "end": "2026-08-26"}],"Tier 31": [{"start": "2026-09-23", "end": "2026-09-23"}],"Tier 32": [{"start": "2026-08-15", "end": "2026-08-15"}],"Tier 33": [{"start": "2026-08-28", "end": "2026-08-28"}],"Tier 34": [{"start": "2026-09-04", "end": "2026-09-04"}],"Tier 35": [{"start": "2026-09-03", "end": "2026-09-03"}],"Tier 36": [{"start": "2026-09-24", "end": "2026-09-24"}],"Tier 37": [{"start": "2026-08-27", "end": "2026-08-27"}],"Tier 38": [{"start": "2026-08-14", "end": "2026-08-14"},{"start": "2026-09-25", "end": "2026-09-25"}],"Tier 39": [{"start": "2026-08-10", "end": "2026-08-10"}],"Tier 40": [{"start": "2026-08-09", "end": "2026-08-09"}],"Tier 41": [{"start": "2026-08-11", "end": "2026-08-11"}],"Tier 42": [{"start": "2026-09-26", "end": "2026-09-26"}],"Tier 43": [{"start": "2026-08-03", "end": "2026-08-03"}],"Tier 44": [{"start": "2026-08-08", "end": "2026-08-08"}],"Tier 45": [{"start": "2026-08-12", "end": "2026-08-12"}],"Tier 46": [{"start": "2026-08-07", "end": "2026-08-07"}],"Tier 47": [{"start": "2026-08-13", "end": "2026-08-13"}],"Tier 48": [{"start": "2026-08-04", "end": "2026-08-04"}],"Tier 49": [{"start": "2026-08-05", "end": "2026-08-05"},{"start": "2026-08-06", "end": "2026-08-06"}],"Tier 50": [{"start": "2026-09-27", "end": "2026-09-27"}],"Tier 51": [{"start": "2026-08-02", "end": "2026-08-02"}],"Tier 52": [{"start": "2026-08-01", "end": "2026-08-01"}],"Tier 53": [{"start": "2026-07-26", "end": "2026-07-26"}],"Tier 54": [{"start": "2026-07-27", "end": "2026-07-27"}],"Tier 55": [{"start": "2026-07-19", "end": "2026-07-19"},{"start": "2026-07-25", "end": "2026-07-25"}],"Tier 56": [{"start": "2026-07-28", "end": "2026-07-28"},{"start": "2026-07-31", "end": "2026-07-31"}],"Tier 57": [{"start": "2026-07-18", "end": "2026-07-18"},{"start": "2026-07-20", "end": "2026-07-20"},{"start": "2026-07-30", "end": "2026-07-30"}],"Tier 58": [{"start": "2026-07-29", "end": "2026-07-29"}],"Tier 59": [{"start": "2026-07-16", "end": "2026-07-16"},{"start": "2026-07-17", "end": "2026-07-17"},{"start": "2026-07-24", "end": "2026-07-24"}],"Tier 60": [{"start": "2026-07-12", "end": "2026-07-12"}],"Tier 61": [{"start": "2026-09-28", "end": "2026-09-28"}],"Tier 62": [{"start": "2026-07-09", "end": "2026-07-09"},{"start": "2026-07-10", "end": "2026-07-10"},{"start": "2026-07-21", "end": "2026-07-21"},{"start": "2026-07-23", "end": "2026-07-23"}],"Tier 63": [{"start": "2026-07-13", "end": "2026-07-13"}],"Tier 64": [{"start": "2026-07-08", "end": "2026-07-08"},{"start": "2026-07-22", "end": "2026-07-22"}],"Tier 65": [{"start": "2026-07-11", "end": "2026-07-11"}],"Tier 66": [{"start": "2026-07-14", "end": "2026-07-14"},{"start": "2026-07-15", "end": "2026-07-15"}],"Tier 67": [{"start": "2026-07-07", "end": "2026-07-07"}],"Tier 68": [{"start": "2026-07-06", "end": "2026-07-06"}],"Tier 69": [{"start": "2026-07-05", "end": "2026-07-05"}],"Tier 70": [{"start": "2026-09-29", "end": "2026-09-29"}],"Tier 71": [{"start": "2026-05-03", "end": "2026-05-03"}],"Tier 72": [{"start": "2026-06-08", "end": "2026-06-08"},{"start": "2026-06-14", "end": "2026-06-14"},{"start": "2026-06-15", "end": "2026-06-15"}],"Tier 73": [{"start": "2026-06-06", "end": "2026-06-06"}],"Tier 74": [{"start": "2026-05-31", "end": "2026-05-31"}],"Tier 75": [{"start": "2026-07-04", "end": "2026-07-04"}],"Tier 76": [{"start": "2026-05-17", "end": "2026-05-17"}],"Tier 77": [{"start": "2026-06-01", "end": "2026-06-01"},{"start": "2026-06-02", "end": "2026-06-02"},{"start": "2026-06-03", "end": "2026-06-03"},{"start": "2026-06-04", "end": "2026-06-04"},{"start": "2026-06-09", "end": "2026-06-09"},{"start": "2026-06-13", "end": "2026-06-13"},{"start": "2026-06-16", "end": "2026-06-16"}],"Tier 78": [{"start": "2026-03-01", "end": "2026-03-01"},{"start": "2026-03-02", "end": "2026-03-02"}],"Tier 79": [{"start": "2026-06-07", "end": "2026-06-07"}],"Tier 80": [{"start": "2026-05-30", "end": "2026-05-30"}],"Tier 81": [{"start": "2026-04-29", "end": "2026-04-29"}],"Tier 82": [{"start": "2026-04-27", "end": "2026-04-27"}],"Tier 83": [{"start": "2026-06-10", "end": "2026-06-10"},{"start": "2026-06-11", "end": "2026-06-11"},{"start": "2026-06-12", "end": "2026-06-12"},{"start": "2026-06-17", "end": "2026-06-17"},{"start": "2026-06-20", "end": "2026-06-20"},{"start": "2026-06-21", "end": "2026-06-21"}],"Tier 84": [{"start": "2026-05-18", "end": "2026-05-18"}],"Tier 85": [{"start": "2026-03-03", "end": "2026-03-03"},{"start": "2026-05-16", "end": "2026-05-16"}],"Tier 86": [{"start": "2026-06-18", "end": "2026-06-18"},{"start": "2026-06-19", "end": "2026-06-19"}],"Tier 87": [{"start": "2026-04-26", "end": "2026-04-26"},{"start": "2026-05-04", "end": "2026-05-04"},{"start": "2026-05-05", "end": "2026-05-05"}],"Tier 88": [{"start": "2026-06-22", "end": "2026-06-22"}],"Tier 89": [{"start": "2026-06-05", "end": "2026-06-05"}],"Tier 90": [{"start": "2026-04-28", "end": "2026-04-28"},{"start": "2026-05-11", "end": "2026-05-11"}],"Tier 91": [{"start": "2026-07-03", "end": "2026-07-03"}],"Tier 92": [{"start": "2026-05-10", "end": "2026-05-10"}],"Tier 93": [{"start": "2026-09-30", "end": "2026-09-30"}],"Tier 94": [{"start": "2026-06-23", "end": "2026-06-23"}],"Tier 95": [{"start": "2026-10-25", "end": "2026-10-25"}],"Tier 96": [{"start": "2026-05-02", "end": "2026-05-02"},{"start": "2026-05-12", "end": "2026-05-12"},{"start": "2026-06-29", "end": "2026-06-29"}],"Tier 97": [{"start": "2026-05-14", "end": "2026-05-14"},{"start": "2026-05-15", "end": "2026-05-15"},{"start": "2026-06-28", "end": "2026-06-28"}],"Tier 98": [{"start": "2026-11-01", "end": "2026-11-01"}],"Tier 99": [{"start": "2026-05-06", "end": "2026-05-06"}],"Tier 100": [{"start": "2026-02-28", "end": "2026-02-28"}],"Tier 101": [{"start": "2026-07-02", "end": "2026-07-02"}],"Tier 102": [{"start": "2026-07-01", "end": "2026-07-01"}],"Tier 103": [{"start": "2026-05-29", "end": "2026-05-29"},{"start": "2026-06-30", "end": "2026-06-30"}],"Tier 104": [{"start": "2026-04-25", "end": "2026-04-25"},{"start": "2026-05-13", "end": "2026-05-13"},{"start": "2026-05-19", "end": "2026-05-19"}],"Tier 105": [{"start": "2026-05-01", "end": "2026-05-01"}],"Tier 106": [{"start": "2026-11-02", "end": "2026-11-02"}],"Tier 107": [{"start": "2026-10-01", "end": "2026-10-01"},{"start": "2026-10-24", "end": "2026-10-24"},{"start": "2026-10-26", "end": "2026-10-26"}],"Tier 108": [{"start": "2026-03-04", "end": "2026-03-04"}],"Tier 109": [{"start": "2026-05-09", "end": "2026-05-09"}],"Tier 110": [{"start": "2026-06-24", "end": "2026-06-24"}],"Tier 111": [{"start": "2026-05-28", "end": "2026-05-28"}],"Tier 112": [{"start": "2026-06-27", "end": "2026-06-27"}],"Tier 113": [{"start": "2026-10-04", "end": "2026-10-04"}],"Tier 114": [{"start": "2026-10-31", "end": "2026-10-31"}],"Tier 115": [{"start": "2026-10-02", "end": "2026-10-02"},{"start": "2026-11-08", "end": "2026-11-08"}],"Tier 116": [{"start": "2026-06-25", "end": "2026-06-25"}],"Tier 117": [{"start": "2026-03-23", "end": "2026-03-23"},{"start": "2026-04-30", "end": "2026-04-30"},{"start": "2026-05-27", "end": "2026-05-27"}],"Tier 118": [{"start": "2026-03-16", "end": "2026-03-16"}],"Tier 119": [{"start": "2026-10-05", "end": "2026-10-05"},{"start": "2026-10-18", "end": "2026-10-18"}],"Tier 120": [{"start": "2026-05-07", "end": "2026-05-07"}],"Tier 121": [{"start": "2026-03-22", "end": "2026-03-22"},{"start": "2026-03-24", "end": "2026-03-24"}],"Tier 122": [{"start": "2026-10-03", "end": "2026-10-03"}],"Tier 123": [{"start": "2026-11-03", "end": "2026-11-03"}],"Tier 124": [{"start": "2026-03-15", "end": "2026-03-15"},{"start": "2026-03-18", "end": "2026-03-18"},{"start": "2026-05-20", "end": "2026-05-20"}],"Tier 125": [{"start": "2026-04-12", "end": "2026-04-12"},{"start": "2026-04-13", "end": "2026-04-13"}],"Tier 126": [{"start": "2026-10-17", "end": "2026-10-17"},{"start": "2026-10-19", "end": "2026-10-19"}],"Tier 127": [{"start": "2026-05-08", "end": "2026-05-08"},{"start": "2026-06-26", "end": "2026-06-26"}],"Tier 128": [{"start": "2026-02-27", "end": "2026-02-27"},{"start": "2026-10-23", "end": "2026-10-23"},{"start": "2026-10-27", "end": "2026-10-27"}],"Tier 129": [{"start": "2026-03-21", "end": "2026-03-21"}],"Tier 130": [{"start": "2026-04-14", "end": "2026-04-14"},{"start": "2026-05-26", "end": "2026-05-26"}],"Tier 131": [{"start": "2026-11-10", "end": "2026-11-10"}],"Tier 132": [{"start": "2026-03-05", "end": "2026-03-05"},{"start": "2026-04-24", "end": "2026-04-24"}],"Tier 133": [{"start": "2026-11-07", "end": "2026-11-07"}],"Tier 134": [{"start": "2026-03-19", "end": "2026-03-19"},{"start": "2026-03-25", "end": "2026-03-25"},{"start": "2026-04-19", "end": "2026-04-19"},{"start": "2026-04-20", "end": "2026-04-20"}],"Tier 135": [{"start": "2026-10-28", "end": "2026-10-28"},{"start": "2026-10-30", "end": "2026-10-30"}],"Tier 136": [{"start": "2026-03-20", "end": "2026-03-20"}],"Tier 137": [{"start": "2026-10-06", "end": "2026-10-06"},{"start": "2026-10-22", "end": "2026-10-22"}],"Tier 138": [{"start": "2026-03-14", "end": "2026-03-14"},{"start": "2026-04-11", "end": "2026-04-11"},{"start": "2026-04-21", "end": "2026-04-21"},{"start": "2026-05-25", "end": "2026-05-25"}],"Tier 139": [{"start": "2026-10-20", "end": "2026-10-20"},{"start": "2026-11-06", "end": "2026-11-06"}],"Tier 140": [{"start": "2026-03-26", "end": "2026-03-26"},{"start": "2026-04-23", "end": "2026-04-23"},{"start": "2026-05-21", "end": "2026-05-21"}],"Tier 141": [{"start": "2026-10-16", "end": "2026-10-16"},{"start": "2026-10-21", "end": "2026-10-21"},{"start": "2026-10-29", "end": "2026-10-29"},{"start": "2026-12-06", "end": "2026-12-06"},{"start": "2026-12-07", "end": "2026-12-07"}],"Tier 142": [{"start": "2026-04-15", "end": "2026-04-15"},{"start": "2026-04-22", "end": "2026-04-22"}],"Tier 143": [{"start": "2026-05-24", "end": "2026-05-24"}],"Tier 144": [{"start": "2026-04-18", "end": "2026-04-18"}],"Tier 145": [{"start": "2026-11-04", "end": "2026-11-04"}],"Tier 146": [{"start": "2026-03-08", "end": "2026-03-08"},{"start": "2026-03-09", "end": "2026-03-09"},{"start": "2026-03-27", "end": "2026-03-27"},{"start": "2026-03-29", "end": "2026-03-29"},{"start": "2026-03-30", "end": "2026-03-30"},{"start": "2026-04-05", "end": "2026-04-05"},{"start": "2026-04-06", "end": "2026-04-06"}],"Tier 147": [{"start": "2026-10-15", "end": "2026-10-15"},{"start": "2026-11-05", "end": "2026-11-05"},{"start": "2026-11-30", "end": "2026-11-30"}],"Tier 148": [{"start": "2026-03-06", "end": "2026-03-06"},{"start": "2026-04-10", "end": "2026-04-10"},{"start": "2026-04-16", "end": "2026-04-16"},{"start": "2026-05-23", "end": "2026-05-23"}],"Tier 149": [{"start": "2026-03-13", "end": "2026-03-13"}],"Tier 150": [{"start": "2026-03-07", "end": "2026-03-07"},{"start": "2026-03-10", "end": "2026-03-10"},{"start": "2026-03-28", "end": "2026-03-28"},{"start": "2026-03-31", "end": "2026-03-31"},{"start": "2026-04-04", "end": "2026-04-04"},{"start": "2026-04-07", "end": "2026-04-07"}],"Tier 151": [{"start": "2026-10-07", "end": "2026-10-07"},{"start": "2026-10-12", "end": "2026-10-12"},{"start": "2026-12-08", "end": "2026-12-08"}],"Tier 152": [{"start": "2026-03-12", "end": "2026-03-12"}],"Tier 153": [{"start": "2026-10-11", "end": "2026-10-11"},{"start": "2026-10-13", "end": "2026-10-13"},{"start": "2026-11-11", "end": "2026-11-11"},{"start": "2026-12-05", "end": "2026-12-05"}],"Tier 154": [{"start": "2026-05-22", "end": "2026-05-22"}],"Tier 155": [{"start": "2026-10-14", "end": "2026-10-14"},{"start": "2026-11-29", "end": "2026-11-29"}],"Tier 156": [{"start": "2026-03-11", "end": "2026-03-11"},{"start": "2026-04-01", "end": "2026-04-01"},{"start": "2026-04-02", "end": "2026-04-02"},{"start": "2026-04-03", "end": "2026-04-03"},{"start": "2026-04-08", "end": "2026-04-08"},{"start": "2026-04-09", "end": "2026-04-09"},{"start": "2026-04-17", "end": "2026-04-17"}],"Tier 157": [{"start": "2026-10-08", "end": "2026-10-08"}],"Tier 158": [{"start": "2026-12-01", "end": "2026-12-01"}],"Tier 159": [{"start": "2026-12-02", "end": "2026-12-02"},{"start": "2026-12-03", "end": "2026-12-03"},{"start": "2026-12-04", "end": "2026-12-04"},{"start": "2026-12-09", "end": "2026-12-09"}],"Tier 160": [{"start": "2026-10-10", "end": "2026-10-10"}],"Tier 161": [{"start": "2026-11-12", "end": "2026-11-12"}],"Tier 162": [{"start": "2026-12-10", "end": "2026-12-10"}],"Tier 163": [{"start": "2026-10-09", "end": "2026-10-09"}],"Tier 164": [{"start": "2026-11-28", "end": "2026-11-28"}],"Tier 165": [{"start": "2026-12-11", "end": "2026-12-11"}],"Tier 166": [{"start": "2026-11-13", "end": "2026-11-13"},{"start": "2026-12-13", "end": "2026-12-13"},{"start": "2026-12-14", "end": "2026-12-14"}],"Tier 167": [{"start": "2026-11-15", "end": "2026-11-15"},{"start": "2026-11-16", "end": "2026-11-16"}],"Tier 168": [{"start": "2026-12-12", "end": "2026-12-12"}],"Tier 169": [{"start": "2026-11-14", "end": "2026-11-14"}],"Tier 170": [{"start": "2026-11-17", "end": "2026-11-17"},{"start": "2026-12-15", "end": "2026-12-15"}],"Tier 171": [{"start": "2026-11-18", "end": "2026-11-18"},{"start": "2026-11-27", "end": "2026-11-27"}],"Tier 172": [{"start": "2026-12-16", "end": "2026-12-16"}],"Tier 173": [{"start": "2026-11-19", "end": "2026-11-19"}],"Tier 174": [{"start": "2026-12-17", "end": "2026-12-17"}],"Tier 175": [{"start": "2026-11-20", "end": "2026-11-20"},{"start": "2026-11-21", "end": "2026-11-21"},{"start": "2026-11-22", "end": "2026-11-22"}],"Tier 176": [{"start": "2026-12-31", "end": "2026-12-31"}],"Tier 177": [{"start": "2026-11-23", "end": "2026-11-23"},{"start": "2026-11-24", "end": "2026-11-24"},{"start": "2026-11-26", "end": "2026-11-26"}],"Tier 178": [{"start": "2026-11-25", "end": "2026-11-25"},{"start": "2026-12-18", "end": "2026-12-18"}],"Tier 179": [{"start": "2026-12-30", "end": "2026-12-30"}],"Tier 180": [{"start": "2026-12-19", "end": "2026-12-19"},{"start": "2026-12-20", "end": "2026-12-20"}]}</v>
      </c>
    </row>
    <row r="186" spans="1:28" x14ac:dyDescent="0.2">
      <c r="A186" s="3">
        <v>46253</v>
      </c>
      <c r="B186" s="2">
        <v>510.68</v>
      </c>
      <c r="C186">
        <f t="shared" si="2"/>
        <v>6</v>
      </c>
      <c r="D186">
        <v>0</v>
      </c>
      <c r="F186">
        <v>185</v>
      </c>
    </row>
    <row r="187" spans="1:28" x14ac:dyDescent="0.2">
      <c r="A187" s="3">
        <v>46254</v>
      </c>
      <c r="B187" s="2">
        <v>505.46</v>
      </c>
      <c r="C187">
        <f t="shared" si="2"/>
        <v>3</v>
      </c>
      <c r="F187">
        <v>0</v>
      </c>
    </row>
    <row r="188" spans="1:28" x14ac:dyDescent="0.2">
      <c r="A188" s="3">
        <v>46255</v>
      </c>
      <c r="B188" s="2">
        <v>510.68</v>
      </c>
      <c r="C188">
        <f t="shared" si="2"/>
        <v>6</v>
      </c>
    </row>
    <row r="189" spans="1:28" x14ac:dyDescent="0.2">
      <c r="A189" s="3">
        <v>46256</v>
      </c>
      <c r="B189" s="2">
        <v>522.32000000000005</v>
      </c>
      <c r="C189">
        <f t="shared" si="2"/>
        <v>13</v>
      </c>
    </row>
    <row r="190" spans="1:28" x14ac:dyDescent="0.2">
      <c r="A190" s="3">
        <v>46257</v>
      </c>
      <c r="B190" s="2">
        <v>522.32000000000005</v>
      </c>
      <c r="C190">
        <f t="shared" si="2"/>
        <v>13</v>
      </c>
    </row>
    <row r="191" spans="1:28" x14ac:dyDescent="0.2">
      <c r="A191" s="3">
        <v>46258</v>
      </c>
      <c r="B191" s="2">
        <v>524.16999999999996</v>
      </c>
      <c r="C191">
        <f t="shared" si="2"/>
        <v>14</v>
      </c>
    </row>
    <row r="192" spans="1:28" x14ac:dyDescent="0.2">
      <c r="A192" s="3">
        <v>46259</v>
      </c>
      <c r="B192" s="2">
        <v>541.41</v>
      </c>
      <c r="C192">
        <f t="shared" si="2"/>
        <v>24</v>
      </c>
    </row>
    <row r="193" spans="1:3" x14ac:dyDescent="0.2">
      <c r="A193" s="3">
        <v>46260</v>
      </c>
      <c r="B193" s="2">
        <v>551.13</v>
      </c>
      <c r="C193">
        <f t="shared" si="2"/>
        <v>30</v>
      </c>
    </row>
    <row r="194" spans="1:3" x14ac:dyDescent="0.2">
      <c r="A194" s="3">
        <v>46261</v>
      </c>
      <c r="B194" s="2">
        <v>559.37</v>
      </c>
      <c r="C194">
        <f t="shared" si="2"/>
        <v>37</v>
      </c>
    </row>
    <row r="195" spans="1:3" x14ac:dyDescent="0.2">
      <c r="A195" s="3">
        <v>46262</v>
      </c>
      <c r="B195" s="2">
        <v>554.13</v>
      </c>
      <c r="C195">
        <f t="shared" ref="C195:C258" si="3">MATCH(B195, $D$1:$D$195, 0)-1</f>
        <v>33</v>
      </c>
    </row>
    <row r="196" spans="1:3" x14ac:dyDescent="0.2">
      <c r="A196" s="3">
        <v>46263</v>
      </c>
      <c r="B196" s="2">
        <v>547.83000000000004</v>
      </c>
      <c r="C196">
        <f t="shared" si="3"/>
        <v>29</v>
      </c>
    </row>
    <row r="197" spans="1:3" x14ac:dyDescent="0.2">
      <c r="A197" s="3">
        <v>46264</v>
      </c>
      <c r="B197" s="1">
        <v>535.07000000000005</v>
      </c>
      <c r="C197">
        <f t="shared" si="3"/>
        <v>20</v>
      </c>
    </row>
    <row r="198" spans="1:3" x14ac:dyDescent="0.2">
      <c r="A198" s="3">
        <v>46265</v>
      </c>
      <c r="B198" s="1">
        <v>532.82000000000005</v>
      </c>
      <c r="C198">
        <f t="shared" si="3"/>
        <v>19</v>
      </c>
    </row>
    <row r="199" spans="1:3" x14ac:dyDescent="0.2">
      <c r="A199" s="3">
        <v>46266</v>
      </c>
      <c r="B199" s="2">
        <v>530.16999999999996</v>
      </c>
      <c r="C199">
        <f t="shared" si="3"/>
        <v>18</v>
      </c>
    </row>
    <row r="200" spans="1:3" x14ac:dyDescent="0.2">
      <c r="A200" s="3">
        <v>46267</v>
      </c>
      <c r="B200" s="2">
        <v>542.15</v>
      </c>
      <c r="C200">
        <f t="shared" si="3"/>
        <v>26</v>
      </c>
    </row>
    <row r="201" spans="1:3" x14ac:dyDescent="0.2">
      <c r="A201" s="3">
        <v>46268</v>
      </c>
      <c r="B201" s="2">
        <v>557.13</v>
      </c>
      <c r="C201">
        <f t="shared" si="3"/>
        <v>35</v>
      </c>
    </row>
    <row r="202" spans="1:3" x14ac:dyDescent="0.2">
      <c r="A202" s="3">
        <v>46269</v>
      </c>
      <c r="B202" s="2">
        <v>554.59</v>
      </c>
      <c r="C202">
        <f t="shared" si="3"/>
        <v>34</v>
      </c>
    </row>
    <row r="203" spans="1:3" x14ac:dyDescent="0.2">
      <c r="A203" s="3">
        <v>46270</v>
      </c>
      <c r="B203" s="2">
        <v>541.83000000000004</v>
      </c>
      <c r="C203">
        <f t="shared" si="3"/>
        <v>25</v>
      </c>
    </row>
    <row r="204" spans="1:3" x14ac:dyDescent="0.2">
      <c r="A204" s="3">
        <v>46271</v>
      </c>
      <c r="B204" s="2">
        <v>525.32000000000005</v>
      </c>
      <c r="C204">
        <f t="shared" si="3"/>
        <v>15</v>
      </c>
    </row>
    <row r="205" spans="1:3" x14ac:dyDescent="0.2">
      <c r="A205" s="3">
        <v>46272</v>
      </c>
      <c r="B205" s="2">
        <v>514.07000000000005</v>
      </c>
      <c r="C205">
        <f t="shared" si="3"/>
        <v>7</v>
      </c>
    </row>
    <row r="206" spans="1:3" x14ac:dyDescent="0.2">
      <c r="A206" s="3">
        <v>46273</v>
      </c>
      <c r="B206" s="2">
        <v>500.96</v>
      </c>
      <c r="C206">
        <f t="shared" si="3"/>
        <v>2</v>
      </c>
    </row>
    <row r="207" spans="1:3" x14ac:dyDescent="0.2">
      <c r="A207" s="3">
        <v>46274</v>
      </c>
      <c r="B207" s="2">
        <v>509.2</v>
      </c>
      <c r="C207">
        <f t="shared" si="3"/>
        <v>5</v>
      </c>
    </row>
    <row r="208" spans="1:3" x14ac:dyDescent="0.2">
      <c r="A208" s="3">
        <v>46275</v>
      </c>
      <c r="B208" s="2">
        <v>515.95000000000005</v>
      </c>
      <c r="C208">
        <f t="shared" si="3"/>
        <v>9</v>
      </c>
    </row>
    <row r="209" spans="1:3" x14ac:dyDescent="0.2">
      <c r="A209" s="3">
        <v>46276</v>
      </c>
      <c r="B209" s="2">
        <v>520.82000000000005</v>
      </c>
      <c r="C209">
        <f t="shared" si="3"/>
        <v>12</v>
      </c>
    </row>
    <row r="210" spans="1:3" x14ac:dyDescent="0.2">
      <c r="A210" s="3">
        <v>46277</v>
      </c>
      <c r="B210" s="2">
        <v>519.29999999999995</v>
      </c>
      <c r="C210">
        <f t="shared" si="3"/>
        <v>11</v>
      </c>
    </row>
    <row r="211" spans="1:3" x14ac:dyDescent="0.2">
      <c r="A211" s="3">
        <v>46278</v>
      </c>
      <c r="B211" s="2">
        <v>515.54999999999995</v>
      </c>
      <c r="C211">
        <f t="shared" si="3"/>
        <v>8</v>
      </c>
    </row>
    <row r="212" spans="1:3" x14ac:dyDescent="0.2">
      <c r="A212" s="3">
        <v>46279</v>
      </c>
      <c r="B212" s="2">
        <v>518.17999999999995</v>
      </c>
      <c r="C212">
        <f t="shared" si="3"/>
        <v>10</v>
      </c>
    </row>
    <row r="213" spans="1:3" x14ac:dyDescent="0.2">
      <c r="A213" s="3">
        <v>46280</v>
      </c>
      <c r="B213" s="2">
        <v>526.41999999999996</v>
      </c>
      <c r="C213">
        <f t="shared" si="3"/>
        <v>16</v>
      </c>
    </row>
    <row r="214" spans="1:3" x14ac:dyDescent="0.2">
      <c r="A214" s="3">
        <v>46281</v>
      </c>
      <c r="B214" s="2">
        <v>536.89</v>
      </c>
      <c r="C214">
        <f t="shared" si="3"/>
        <v>22</v>
      </c>
    </row>
    <row r="215" spans="1:3" x14ac:dyDescent="0.2">
      <c r="A215" s="3">
        <v>46282</v>
      </c>
      <c r="B215" s="2">
        <v>542.15</v>
      </c>
      <c r="C215">
        <f t="shared" si="3"/>
        <v>26</v>
      </c>
    </row>
    <row r="216" spans="1:3" x14ac:dyDescent="0.2">
      <c r="A216" s="3">
        <v>46283</v>
      </c>
      <c r="B216" s="2">
        <v>544.82000000000005</v>
      </c>
      <c r="C216">
        <f t="shared" si="3"/>
        <v>28</v>
      </c>
    </row>
    <row r="217" spans="1:3" x14ac:dyDescent="0.2">
      <c r="A217" s="3">
        <v>46284</v>
      </c>
      <c r="B217" s="2">
        <v>538.07000000000005</v>
      </c>
      <c r="C217">
        <f t="shared" si="3"/>
        <v>23</v>
      </c>
    </row>
    <row r="218" spans="1:3" x14ac:dyDescent="0.2">
      <c r="A218" s="3">
        <v>46285</v>
      </c>
      <c r="B218" s="2">
        <v>532.82000000000005</v>
      </c>
      <c r="C218">
        <f t="shared" si="3"/>
        <v>19</v>
      </c>
    </row>
    <row r="219" spans="1:3" x14ac:dyDescent="0.2">
      <c r="A219" s="3">
        <v>46286</v>
      </c>
      <c r="B219" s="2">
        <v>535.82000000000005</v>
      </c>
      <c r="C219">
        <f t="shared" si="3"/>
        <v>21</v>
      </c>
    </row>
    <row r="220" spans="1:3" x14ac:dyDescent="0.2">
      <c r="A220" s="3">
        <v>46287</v>
      </c>
      <c r="B220" s="2">
        <v>544.4</v>
      </c>
      <c r="C220">
        <f t="shared" si="3"/>
        <v>27</v>
      </c>
    </row>
    <row r="221" spans="1:3" x14ac:dyDescent="0.2">
      <c r="A221" s="3">
        <v>46288</v>
      </c>
      <c r="B221" s="2">
        <v>551.88</v>
      </c>
      <c r="C221">
        <f t="shared" si="3"/>
        <v>31</v>
      </c>
    </row>
    <row r="222" spans="1:3" x14ac:dyDescent="0.2">
      <c r="A222" s="3">
        <v>46289</v>
      </c>
      <c r="B222" s="2">
        <v>557.88</v>
      </c>
      <c r="C222">
        <f t="shared" si="3"/>
        <v>36</v>
      </c>
    </row>
    <row r="223" spans="1:3" x14ac:dyDescent="0.2">
      <c r="A223" s="3">
        <v>46290</v>
      </c>
      <c r="B223" s="2">
        <v>568.09</v>
      </c>
      <c r="C223">
        <f t="shared" si="3"/>
        <v>38</v>
      </c>
    </row>
    <row r="224" spans="1:3" x14ac:dyDescent="0.2">
      <c r="A224" s="3">
        <v>46291</v>
      </c>
      <c r="B224" s="2">
        <v>580.1</v>
      </c>
      <c r="C224">
        <f t="shared" si="3"/>
        <v>42</v>
      </c>
    </row>
    <row r="225" spans="1:3" x14ac:dyDescent="0.2">
      <c r="A225" s="3">
        <v>46292</v>
      </c>
      <c r="B225" s="1">
        <v>591.36</v>
      </c>
      <c r="C225">
        <f t="shared" si="3"/>
        <v>50</v>
      </c>
    </row>
    <row r="226" spans="1:3" x14ac:dyDescent="0.2">
      <c r="A226" s="3">
        <v>46293</v>
      </c>
      <c r="B226" s="1">
        <v>625.17999999999995</v>
      </c>
      <c r="C226">
        <f t="shared" si="3"/>
        <v>61</v>
      </c>
    </row>
    <row r="227" spans="1:3" x14ac:dyDescent="0.2">
      <c r="A227" s="3">
        <v>46294</v>
      </c>
      <c r="B227" s="1">
        <v>650.33000000000004</v>
      </c>
      <c r="C227">
        <f t="shared" si="3"/>
        <v>70</v>
      </c>
    </row>
    <row r="228" spans="1:3" x14ac:dyDescent="0.2">
      <c r="A228" s="3">
        <v>46295</v>
      </c>
      <c r="B228" s="1">
        <v>672.52</v>
      </c>
      <c r="C228">
        <f t="shared" si="3"/>
        <v>93</v>
      </c>
    </row>
    <row r="229" spans="1:3" x14ac:dyDescent="0.2">
      <c r="A229" s="3">
        <v>46296</v>
      </c>
      <c r="B229" s="1">
        <v>680.18</v>
      </c>
      <c r="C229">
        <f t="shared" si="3"/>
        <v>107</v>
      </c>
    </row>
    <row r="230" spans="1:3" x14ac:dyDescent="0.2">
      <c r="A230" s="3">
        <v>46297</v>
      </c>
      <c r="B230" s="1">
        <v>684.76</v>
      </c>
      <c r="C230">
        <f t="shared" si="3"/>
        <v>115</v>
      </c>
    </row>
    <row r="231" spans="1:3" x14ac:dyDescent="0.2">
      <c r="A231" s="3">
        <v>46298</v>
      </c>
      <c r="B231" s="1">
        <v>688.59</v>
      </c>
      <c r="C231">
        <f t="shared" si="3"/>
        <v>122</v>
      </c>
    </row>
    <row r="232" spans="1:3" x14ac:dyDescent="0.2">
      <c r="A232" s="3">
        <v>46299</v>
      </c>
      <c r="B232" s="1">
        <v>683.22</v>
      </c>
      <c r="C232">
        <f t="shared" si="3"/>
        <v>113</v>
      </c>
    </row>
    <row r="233" spans="1:3" x14ac:dyDescent="0.2">
      <c r="A233" s="3">
        <v>46300</v>
      </c>
      <c r="B233" s="1">
        <v>687.06</v>
      </c>
      <c r="C233">
        <f t="shared" si="3"/>
        <v>119</v>
      </c>
    </row>
    <row r="234" spans="1:3" x14ac:dyDescent="0.2">
      <c r="A234" s="3">
        <v>46301</v>
      </c>
      <c r="B234" s="1">
        <v>695.48</v>
      </c>
      <c r="C234">
        <f t="shared" si="3"/>
        <v>137</v>
      </c>
    </row>
    <row r="235" spans="1:3" x14ac:dyDescent="0.2">
      <c r="A235" s="3">
        <v>46302</v>
      </c>
      <c r="B235" s="1">
        <v>704.66</v>
      </c>
      <c r="C235">
        <f t="shared" si="3"/>
        <v>151</v>
      </c>
    </row>
    <row r="236" spans="1:3" x14ac:dyDescent="0.2">
      <c r="A236" s="3">
        <v>46303</v>
      </c>
      <c r="B236" s="1">
        <v>706.97</v>
      </c>
      <c r="C236">
        <f t="shared" si="3"/>
        <v>157</v>
      </c>
    </row>
    <row r="237" spans="1:3" x14ac:dyDescent="0.2">
      <c r="A237" s="3">
        <v>46304</v>
      </c>
      <c r="B237" s="1">
        <v>714.61</v>
      </c>
      <c r="C237">
        <f t="shared" si="3"/>
        <v>163</v>
      </c>
    </row>
    <row r="238" spans="1:3" x14ac:dyDescent="0.2">
      <c r="A238" s="3">
        <v>46305</v>
      </c>
      <c r="B238" s="1">
        <v>710.78</v>
      </c>
      <c r="C238">
        <f t="shared" si="3"/>
        <v>160</v>
      </c>
    </row>
    <row r="239" spans="1:3" x14ac:dyDescent="0.2">
      <c r="A239" s="3">
        <v>46306</v>
      </c>
      <c r="B239" s="1">
        <v>705.43</v>
      </c>
      <c r="C239">
        <f t="shared" si="3"/>
        <v>153</v>
      </c>
    </row>
    <row r="240" spans="1:3" x14ac:dyDescent="0.2">
      <c r="A240" s="3">
        <v>46307</v>
      </c>
      <c r="B240" s="1">
        <v>704.66</v>
      </c>
      <c r="C240">
        <f t="shared" si="3"/>
        <v>151</v>
      </c>
    </row>
    <row r="241" spans="1:3" x14ac:dyDescent="0.2">
      <c r="A241" s="3">
        <v>46308</v>
      </c>
      <c r="B241" s="1">
        <v>705.43</v>
      </c>
      <c r="C241">
        <f t="shared" si="3"/>
        <v>153</v>
      </c>
    </row>
    <row r="242" spans="1:3" x14ac:dyDescent="0.2">
      <c r="A242" s="3">
        <v>46309</v>
      </c>
      <c r="B242" s="1">
        <v>706.18</v>
      </c>
      <c r="C242">
        <f t="shared" si="3"/>
        <v>155</v>
      </c>
    </row>
    <row r="243" spans="1:3" x14ac:dyDescent="0.2">
      <c r="A243" s="3">
        <v>46310</v>
      </c>
      <c r="B243" s="1">
        <v>702.36</v>
      </c>
      <c r="C243">
        <f t="shared" si="3"/>
        <v>147</v>
      </c>
    </row>
    <row r="244" spans="1:3" x14ac:dyDescent="0.2">
      <c r="A244" s="3">
        <v>46311</v>
      </c>
      <c r="B244" s="1">
        <v>698.54</v>
      </c>
      <c r="C244">
        <f t="shared" si="3"/>
        <v>141</v>
      </c>
    </row>
    <row r="245" spans="1:3" x14ac:dyDescent="0.2">
      <c r="A245" s="3">
        <v>46312</v>
      </c>
      <c r="B245" s="1">
        <v>690.88</v>
      </c>
      <c r="C245">
        <f t="shared" si="3"/>
        <v>126</v>
      </c>
    </row>
    <row r="246" spans="1:3" x14ac:dyDescent="0.2">
      <c r="A246" s="3">
        <v>46313</v>
      </c>
      <c r="B246" s="1">
        <v>687.06</v>
      </c>
      <c r="C246">
        <f t="shared" si="3"/>
        <v>119</v>
      </c>
    </row>
    <row r="247" spans="1:3" x14ac:dyDescent="0.2">
      <c r="A247" s="3">
        <v>46314</v>
      </c>
      <c r="B247" s="1">
        <v>690.88</v>
      </c>
      <c r="C247">
        <f t="shared" si="3"/>
        <v>126</v>
      </c>
    </row>
    <row r="248" spans="1:3" x14ac:dyDescent="0.2">
      <c r="A248" s="3">
        <v>46315</v>
      </c>
      <c r="B248" s="1">
        <v>697.77</v>
      </c>
      <c r="C248">
        <f t="shared" si="3"/>
        <v>139</v>
      </c>
    </row>
    <row r="249" spans="1:3" x14ac:dyDescent="0.2">
      <c r="A249" s="3">
        <v>46316</v>
      </c>
      <c r="B249" s="1">
        <v>698.54</v>
      </c>
      <c r="C249">
        <f t="shared" si="3"/>
        <v>141</v>
      </c>
    </row>
    <row r="250" spans="1:3" x14ac:dyDescent="0.2">
      <c r="A250" s="3">
        <v>46317</v>
      </c>
      <c r="B250" s="1">
        <v>695.48</v>
      </c>
      <c r="C250">
        <f t="shared" si="3"/>
        <v>137</v>
      </c>
    </row>
    <row r="251" spans="1:3" x14ac:dyDescent="0.2">
      <c r="A251" s="3">
        <v>46318</v>
      </c>
      <c r="B251" s="1">
        <v>691.66</v>
      </c>
      <c r="C251">
        <f t="shared" si="3"/>
        <v>128</v>
      </c>
    </row>
    <row r="252" spans="1:3" x14ac:dyDescent="0.2">
      <c r="A252" s="3">
        <v>46319</v>
      </c>
      <c r="B252" s="1">
        <v>680.18</v>
      </c>
      <c r="C252">
        <f t="shared" si="3"/>
        <v>107</v>
      </c>
    </row>
    <row r="253" spans="1:3" x14ac:dyDescent="0.2">
      <c r="A253" s="3">
        <v>46320</v>
      </c>
      <c r="B253" s="1">
        <v>673.29</v>
      </c>
      <c r="C253">
        <f t="shared" si="3"/>
        <v>95</v>
      </c>
    </row>
    <row r="254" spans="1:3" x14ac:dyDescent="0.2">
      <c r="A254" s="3">
        <v>46321</v>
      </c>
      <c r="B254" s="1">
        <v>680.18</v>
      </c>
      <c r="C254">
        <f t="shared" si="3"/>
        <v>107</v>
      </c>
    </row>
    <row r="255" spans="1:3" x14ac:dyDescent="0.2">
      <c r="A255" s="3">
        <v>46322</v>
      </c>
      <c r="B255" s="1">
        <v>691.66</v>
      </c>
      <c r="C255">
        <f t="shared" si="3"/>
        <v>128</v>
      </c>
    </row>
    <row r="256" spans="1:3" x14ac:dyDescent="0.2">
      <c r="A256" s="3">
        <v>46323</v>
      </c>
      <c r="B256" s="1">
        <v>694.71</v>
      </c>
      <c r="C256">
        <f t="shared" si="3"/>
        <v>135</v>
      </c>
    </row>
    <row r="257" spans="1:3" x14ac:dyDescent="0.2">
      <c r="A257" s="3">
        <v>46324</v>
      </c>
      <c r="B257" s="1">
        <v>698.54</v>
      </c>
      <c r="C257">
        <f t="shared" si="3"/>
        <v>141</v>
      </c>
    </row>
    <row r="258" spans="1:3" x14ac:dyDescent="0.2">
      <c r="A258" s="3">
        <v>46325</v>
      </c>
      <c r="B258" s="1">
        <v>694.71</v>
      </c>
      <c r="C258">
        <f t="shared" si="3"/>
        <v>135</v>
      </c>
    </row>
    <row r="259" spans="1:3" x14ac:dyDescent="0.2">
      <c r="A259" s="3">
        <v>46326</v>
      </c>
      <c r="B259" s="1">
        <v>684.01</v>
      </c>
      <c r="C259">
        <f t="shared" ref="C259:C320" si="4">MATCH(B259, $D$1:$D$195, 0)-1</f>
        <v>114</v>
      </c>
    </row>
    <row r="260" spans="1:3" x14ac:dyDescent="0.2">
      <c r="A260" s="3">
        <v>46327</v>
      </c>
      <c r="B260" s="2">
        <v>675.58</v>
      </c>
      <c r="C260">
        <f t="shared" si="4"/>
        <v>98</v>
      </c>
    </row>
    <row r="261" spans="1:3" x14ac:dyDescent="0.2">
      <c r="A261" s="3">
        <v>46328</v>
      </c>
      <c r="B261" s="2">
        <v>679.42</v>
      </c>
      <c r="C261">
        <f t="shared" si="4"/>
        <v>106</v>
      </c>
    </row>
    <row r="262" spans="1:3" x14ac:dyDescent="0.2">
      <c r="A262" s="3">
        <v>46329</v>
      </c>
      <c r="B262" s="2">
        <v>689.35</v>
      </c>
      <c r="C262">
        <f t="shared" si="4"/>
        <v>123</v>
      </c>
    </row>
    <row r="263" spans="1:3" x14ac:dyDescent="0.2">
      <c r="A263" s="3">
        <v>46330</v>
      </c>
      <c r="B263" s="2">
        <v>701.61</v>
      </c>
      <c r="C263">
        <f t="shared" si="4"/>
        <v>145</v>
      </c>
    </row>
    <row r="264" spans="1:3" x14ac:dyDescent="0.2">
      <c r="A264" s="3">
        <v>46331</v>
      </c>
      <c r="B264" s="2">
        <v>702.36</v>
      </c>
      <c r="C264">
        <f t="shared" si="4"/>
        <v>147</v>
      </c>
    </row>
    <row r="265" spans="1:3" x14ac:dyDescent="0.2">
      <c r="A265" s="3">
        <v>46332</v>
      </c>
      <c r="B265" s="2">
        <v>697.77</v>
      </c>
      <c r="C265">
        <f t="shared" si="4"/>
        <v>139</v>
      </c>
    </row>
    <row r="266" spans="1:3" x14ac:dyDescent="0.2">
      <c r="A266" s="3">
        <v>46333</v>
      </c>
      <c r="B266" s="2">
        <v>693.95</v>
      </c>
      <c r="C266">
        <f t="shared" si="4"/>
        <v>133</v>
      </c>
    </row>
    <row r="267" spans="1:3" x14ac:dyDescent="0.2">
      <c r="A267" s="3">
        <v>46334</v>
      </c>
      <c r="B267" s="2">
        <v>684.76</v>
      </c>
      <c r="C267">
        <f t="shared" si="4"/>
        <v>115</v>
      </c>
    </row>
    <row r="268" spans="1:3" x14ac:dyDescent="0.2">
      <c r="A268" s="3">
        <v>46335</v>
      </c>
      <c r="B268" s="2"/>
      <c r="C268">
        <f t="shared" si="4"/>
        <v>185</v>
      </c>
    </row>
    <row r="269" spans="1:3" x14ac:dyDescent="0.2">
      <c r="A269" s="3">
        <v>46336</v>
      </c>
      <c r="B269" s="2">
        <v>693.17</v>
      </c>
      <c r="C269">
        <f t="shared" si="4"/>
        <v>131</v>
      </c>
    </row>
    <row r="270" spans="1:3" x14ac:dyDescent="0.2">
      <c r="A270" s="3">
        <v>46337</v>
      </c>
      <c r="B270" s="2">
        <v>705.43</v>
      </c>
      <c r="C270">
        <f t="shared" si="4"/>
        <v>153</v>
      </c>
    </row>
    <row r="271" spans="1:3" x14ac:dyDescent="0.2">
      <c r="A271" s="3">
        <v>46338</v>
      </c>
      <c r="B271" s="2">
        <v>711.54</v>
      </c>
      <c r="C271">
        <f t="shared" si="4"/>
        <v>161</v>
      </c>
    </row>
    <row r="272" spans="1:3" x14ac:dyDescent="0.2">
      <c r="A272" s="3">
        <v>46339</v>
      </c>
      <c r="B272" s="2">
        <v>717.67</v>
      </c>
      <c r="C272">
        <f t="shared" si="4"/>
        <v>166</v>
      </c>
    </row>
    <row r="273" spans="1:3" x14ac:dyDescent="0.2">
      <c r="A273" s="3">
        <v>46340</v>
      </c>
      <c r="B273" s="2">
        <v>721.48</v>
      </c>
      <c r="C273">
        <f t="shared" si="4"/>
        <v>169</v>
      </c>
    </row>
    <row r="274" spans="1:3" x14ac:dyDescent="0.2">
      <c r="A274" s="3">
        <v>46341</v>
      </c>
      <c r="B274" s="2">
        <v>718.43</v>
      </c>
      <c r="C274">
        <f t="shared" si="4"/>
        <v>167</v>
      </c>
    </row>
    <row r="275" spans="1:3" x14ac:dyDescent="0.2">
      <c r="A275" s="3">
        <v>46342</v>
      </c>
      <c r="B275" s="2">
        <v>718.43</v>
      </c>
      <c r="C275">
        <f t="shared" si="4"/>
        <v>167</v>
      </c>
    </row>
    <row r="276" spans="1:3" x14ac:dyDescent="0.2">
      <c r="A276" s="3">
        <v>46343</v>
      </c>
      <c r="B276" s="2">
        <v>722.27</v>
      </c>
      <c r="C276">
        <f t="shared" si="4"/>
        <v>170</v>
      </c>
    </row>
    <row r="277" spans="1:3" x14ac:dyDescent="0.2">
      <c r="A277" s="3">
        <v>46344</v>
      </c>
      <c r="B277" s="2">
        <v>723.02</v>
      </c>
      <c r="C277">
        <f t="shared" si="4"/>
        <v>171</v>
      </c>
    </row>
    <row r="278" spans="1:3" x14ac:dyDescent="0.2">
      <c r="A278" s="3">
        <v>46345</v>
      </c>
      <c r="B278" s="2">
        <v>727.61</v>
      </c>
      <c r="C278">
        <f t="shared" si="4"/>
        <v>173</v>
      </c>
    </row>
    <row r="279" spans="1:3" x14ac:dyDescent="0.2">
      <c r="A279" s="3">
        <v>46346</v>
      </c>
      <c r="B279" s="2">
        <v>736.13</v>
      </c>
      <c r="C279">
        <f t="shared" si="4"/>
        <v>175</v>
      </c>
    </row>
    <row r="280" spans="1:3" x14ac:dyDescent="0.2">
      <c r="A280" s="3">
        <v>46347</v>
      </c>
      <c r="B280" s="2">
        <v>736.13</v>
      </c>
      <c r="C280">
        <f t="shared" si="4"/>
        <v>175</v>
      </c>
    </row>
    <row r="281" spans="1:3" x14ac:dyDescent="0.2">
      <c r="A281" s="3">
        <v>46348</v>
      </c>
      <c r="B281" s="2">
        <v>736.13</v>
      </c>
      <c r="C281">
        <f t="shared" si="4"/>
        <v>175</v>
      </c>
    </row>
    <row r="282" spans="1:3" x14ac:dyDescent="0.2">
      <c r="A282" s="3">
        <v>46349</v>
      </c>
      <c r="B282" s="2">
        <v>739.99</v>
      </c>
      <c r="C282">
        <f t="shared" si="4"/>
        <v>177</v>
      </c>
    </row>
    <row r="283" spans="1:3" x14ac:dyDescent="0.2">
      <c r="A283" s="3">
        <v>46350</v>
      </c>
      <c r="B283" s="2">
        <v>739.99</v>
      </c>
      <c r="C283">
        <f t="shared" si="4"/>
        <v>177</v>
      </c>
    </row>
    <row r="284" spans="1:3" x14ac:dyDescent="0.2">
      <c r="A284" s="3">
        <v>46351</v>
      </c>
      <c r="B284" s="2">
        <v>743.87</v>
      </c>
      <c r="C284">
        <f t="shared" si="4"/>
        <v>178</v>
      </c>
    </row>
    <row r="285" spans="1:3" x14ac:dyDescent="0.2">
      <c r="A285" s="3">
        <v>46352</v>
      </c>
      <c r="B285" s="2">
        <v>739.99</v>
      </c>
      <c r="C285">
        <f t="shared" si="4"/>
        <v>177</v>
      </c>
    </row>
    <row r="286" spans="1:3" x14ac:dyDescent="0.2">
      <c r="A286" s="3">
        <v>46353</v>
      </c>
      <c r="B286" s="2">
        <v>723.02</v>
      </c>
      <c r="C286">
        <f t="shared" si="4"/>
        <v>171</v>
      </c>
    </row>
    <row r="287" spans="1:3" x14ac:dyDescent="0.2">
      <c r="A287" s="3">
        <v>46354</v>
      </c>
      <c r="B287" s="2">
        <v>715.38</v>
      </c>
      <c r="C287">
        <f t="shared" si="4"/>
        <v>164</v>
      </c>
    </row>
    <row r="288" spans="1:3" x14ac:dyDescent="0.2">
      <c r="A288" s="3">
        <v>46355</v>
      </c>
      <c r="B288" s="1">
        <v>706.18</v>
      </c>
      <c r="C288">
        <f t="shared" si="4"/>
        <v>155</v>
      </c>
    </row>
    <row r="289" spans="1:3" x14ac:dyDescent="0.2">
      <c r="A289" s="3">
        <v>46356</v>
      </c>
      <c r="B289" s="1">
        <v>702.36</v>
      </c>
      <c r="C289">
        <f t="shared" si="4"/>
        <v>147</v>
      </c>
    </row>
    <row r="290" spans="1:3" x14ac:dyDescent="0.2">
      <c r="A290" s="3">
        <v>46357</v>
      </c>
      <c r="B290" s="2">
        <v>708.47</v>
      </c>
      <c r="C290">
        <f t="shared" si="4"/>
        <v>158</v>
      </c>
    </row>
    <row r="291" spans="1:3" x14ac:dyDescent="0.2">
      <c r="A291" s="3">
        <v>46358</v>
      </c>
      <c r="B291" s="2">
        <v>709.26</v>
      </c>
      <c r="C291">
        <f t="shared" si="4"/>
        <v>159</v>
      </c>
    </row>
    <row r="292" spans="1:3" x14ac:dyDescent="0.2">
      <c r="A292" s="3">
        <v>46359</v>
      </c>
      <c r="B292" s="2">
        <v>709.26</v>
      </c>
      <c r="C292">
        <f t="shared" si="4"/>
        <v>159</v>
      </c>
    </row>
    <row r="293" spans="1:3" x14ac:dyDescent="0.2">
      <c r="A293" s="3">
        <v>46360</v>
      </c>
      <c r="B293" s="2">
        <v>709.26</v>
      </c>
      <c r="C293">
        <f t="shared" si="4"/>
        <v>159</v>
      </c>
    </row>
    <row r="294" spans="1:3" x14ac:dyDescent="0.2">
      <c r="A294" s="3">
        <v>46361</v>
      </c>
      <c r="B294" s="2">
        <v>705.43</v>
      </c>
      <c r="C294">
        <f t="shared" si="4"/>
        <v>153</v>
      </c>
    </row>
    <row r="295" spans="1:3" x14ac:dyDescent="0.2">
      <c r="A295" s="3">
        <v>46362</v>
      </c>
      <c r="B295" s="2">
        <v>698.54</v>
      </c>
      <c r="C295">
        <f t="shared" si="4"/>
        <v>141</v>
      </c>
    </row>
    <row r="296" spans="1:3" x14ac:dyDescent="0.2">
      <c r="A296" s="3">
        <v>46363</v>
      </c>
      <c r="B296" s="2">
        <v>698.54</v>
      </c>
      <c r="C296">
        <f t="shared" si="4"/>
        <v>141</v>
      </c>
    </row>
    <row r="297" spans="1:3" x14ac:dyDescent="0.2">
      <c r="A297" s="3">
        <v>46364</v>
      </c>
      <c r="B297" s="2">
        <v>704.66</v>
      </c>
      <c r="C297">
        <f t="shared" si="4"/>
        <v>151</v>
      </c>
    </row>
    <row r="298" spans="1:3" x14ac:dyDescent="0.2">
      <c r="A298" s="3">
        <v>46365</v>
      </c>
      <c r="B298" s="2">
        <v>709.26</v>
      </c>
      <c r="C298">
        <f t="shared" si="4"/>
        <v>159</v>
      </c>
    </row>
    <row r="299" spans="1:3" x14ac:dyDescent="0.2">
      <c r="A299" s="3">
        <v>46366</v>
      </c>
      <c r="B299" s="2">
        <v>713.07</v>
      </c>
      <c r="C299">
        <f t="shared" si="4"/>
        <v>162</v>
      </c>
    </row>
    <row r="300" spans="1:3" x14ac:dyDescent="0.2">
      <c r="A300" s="3">
        <v>46367</v>
      </c>
      <c r="B300" s="2">
        <v>716.91</v>
      </c>
      <c r="C300">
        <f t="shared" si="4"/>
        <v>165</v>
      </c>
    </row>
    <row r="301" spans="1:3" x14ac:dyDescent="0.2">
      <c r="A301" s="3">
        <v>46368</v>
      </c>
      <c r="B301" s="2">
        <v>720.73</v>
      </c>
      <c r="C301">
        <f t="shared" si="4"/>
        <v>168</v>
      </c>
    </row>
    <row r="302" spans="1:3" x14ac:dyDescent="0.2">
      <c r="A302" s="3">
        <v>46369</v>
      </c>
      <c r="B302" s="2">
        <v>717.67</v>
      </c>
      <c r="C302">
        <f t="shared" si="4"/>
        <v>166</v>
      </c>
    </row>
    <row r="303" spans="1:3" x14ac:dyDescent="0.2">
      <c r="A303" s="3">
        <v>46370</v>
      </c>
      <c r="B303" s="2">
        <v>717.67</v>
      </c>
      <c r="C303">
        <f t="shared" si="4"/>
        <v>166</v>
      </c>
    </row>
    <row r="304" spans="1:3" x14ac:dyDescent="0.2">
      <c r="A304" s="3">
        <v>46371</v>
      </c>
      <c r="B304" s="2">
        <v>722.27</v>
      </c>
      <c r="C304">
        <f t="shared" si="4"/>
        <v>170</v>
      </c>
    </row>
    <row r="305" spans="1:3" x14ac:dyDescent="0.2">
      <c r="A305" s="3">
        <v>46372</v>
      </c>
      <c r="B305" s="2">
        <v>726.84</v>
      </c>
      <c r="C305">
        <f t="shared" si="4"/>
        <v>172</v>
      </c>
    </row>
    <row r="306" spans="1:3" x14ac:dyDescent="0.2">
      <c r="A306" s="3">
        <v>46373</v>
      </c>
      <c r="B306" s="2">
        <v>730.68</v>
      </c>
      <c r="C306">
        <f t="shared" si="4"/>
        <v>174</v>
      </c>
    </row>
    <row r="307" spans="1:3" x14ac:dyDescent="0.2">
      <c r="A307" s="3">
        <v>46374</v>
      </c>
      <c r="B307" s="2">
        <v>743.87</v>
      </c>
      <c r="C307">
        <f t="shared" si="4"/>
        <v>178</v>
      </c>
    </row>
    <row r="308" spans="1:3" x14ac:dyDescent="0.2">
      <c r="A308" s="3">
        <v>46375</v>
      </c>
      <c r="B308" s="2">
        <v>748.5</v>
      </c>
      <c r="C308">
        <f t="shared" si="4"/>
        <v>180</v>
      </c>
    </row>
    <row r="309" spans="1:3" x14ac:dyDescent="0.2">
      <c r="A309" s="3">
        <v>46376</v>
      </c>
      <c r="B309" s="2">
        <v>748.5</v>
      </c>
      <c r="C309">
        <f t="shared" si="4"/>
        <v>180</v>
      </c>
    </row>
    <row r="310" spans="1:3" x14ac:dyDescent="0.2">
      <c r="A310" s="3">
        <v>46377</v>
      </c>
      <c r="B310" s="2">
        <v>749.27</v>
      </c>
      <c r="C310">
        <f t="shared" si="4"/>
        <v>181</v>
      </c>
    </row>
    <row r="311" spans="1:3" x14ac:dyDescent="0.2">
      <c r="A311" s="3">
        <v>46378</v>
      </c>
      <c r="B311" s="2">
        <v>750.04</v>
      </c>
      <c r="C311">
        <f t="shared" si="4"/>
        <v>182</v>
      </c>
    </row>
    <row r="312" spans="1:3" x14ac:dyDescent="0.2">
      <c r="A312" s="3">
        <v>46379</v>
      </c>
      <c r="B312" s="2">
        <v>750.04</v>
      </c>
      <c r="C312">
        <f t="shared" si="4"/>
        <v>182</v>
      </c>
    </row>
    <row r="313" spans="1:3" x14ac:dyDescent="0.2">
      <c r="A313" s="3">
        <v>46380</v>
      </c>
      <c r="B313" s="2">
        <v>750.04</v>
      </c>
      <c r="C313">
        <f t="shared" si="4"/>
        <v>182</v>
      </c>
    </row>
    <row r="314" spans="1:3" x14ac:dyDescent="0.2">
      <c r="A314" s="3">
        <v>46381</v>
      </c>
      <c r="B314" s="2">
        <v>750.04</v>
      </c>
      <c r="C314">
        <f t="shared" si="4"/>
        <v>182</v>
      </c>
    </row>
    <row r="315" spans="1:3" x14ac:dyDescent="0.2">
      <c r="A315" s="3">
        <v>46382</v>
      </c>
      <c r="B315" s="2">
        <v>750.04</v>
      </c>
      <c r="C315">
        <f t="shared" si="4"/>
        <v>182</v>
      </c>
    </row>
    <row r="316" spans="1:3" x14ac:dyDescent="0.2">
      <c r="A316" s="3">
        <v>46383</v>
      </c>
      <c r="B316" s="1">
        <v>752.36</v>
      </c>
      <c r="C316">
        <f t="shared" si="4"/>
        <v>184</v>
      </c>
    </row>
    <row r="317" spans="1:3" x14ac:dyDescent="0.2">
      <c r="A317" s="3">
        <v>46384</v>
      </c>
      <c r="B317" s="1">
        <v>752.36</v>
      </c>
      <c r="C317">
        <f t="shared" si="4"/>
        <v>184</v>
      </c>
    </row>
    <row r="318" spans="1:3" x14ac:dyDescent="0.2">
      <c r="A318" s="3">
        <v>46385</v>
      </c>
      <c r="B318" s="1">
        <v>751.6</v>
      </c>
      <c r="C318">
        <f t="shared" si="4"/>
        <v>183</v>
      </c>
    </row>
    <row r="319" spans="1:3" x14ac:dyDescent="0.2">
      <c r="A319" s="3">
        <v>46386</v>
      </c>
      <c r="B319" s="1">
        <v>746.95</v>
      </c>
      <c r="C319">
        <f t="shared" si="4"/>
        <v>179</v>
      </c>
    </row>
    <row r="320" spans="1:3" x14ac:dyDescent="0.2">
      <c r="A320" s="3">
        <v>46387</v>
      </c>
      <c r="B320" s="1">
        <v>738.43</v>
      </c>
      <c r="C320">
        <f t="shared" si="4"/>
        <v>176</v>
      </c>
    </row>
    <row r="321" spans="2:2" x14ac:dyDescent="0.2">
      <c r="B321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3AC0-2DC2-2148-AC30-F9956B5FAA49}">
  <dimension ref="A1:BMH321"/>
  <sheetViews>
    <sheetView topLeftCell="A44" zoomScale="75" workbookViewId="0">
      <selection activeCell="B58" sqref="B58"/>
    </sheetView>
  </sheetViews>
  <sheetFormatPr baseColWidth="10" defaultRowHeight="16" x14ac:dyDescent="0.2"/>
  <cols>
    <col min="1" max="1" width="13.33203125" customWidth="1"/>
    <col min="3" max="3" width="15" bestFit="1" customWidth="1"/>
    <col min="7" max="7" width="14.6640625" style="3" customWidth="1"/>
    <col min="8" max="8" width="12" style="3" customWidth="1"/>
    <col min="9" max="9" width="14.6640625" style="3" customWidth="1"/>
    <col min="10" max="10" width="14" style="3" customWidth="1"/>
    <col min="11" max="11" width="12.33203125" style="3" customWidth="1"/>
    <col min="12" max="12" width="13" style="3" customWidth="1"/>
    <col min="13" max="14" width="10.83203125" style="3"/>
  </cols>
  <sheetData>
    <row r="1" spans="1:27" x14ac:dyDescent="0.2">
      <c r="A1" t="s">
        <v>1</v>
      </c>
      <c r="B1" t="s">
        <v>0</v>
      </c>
      <c r="C1" t="s">
        <v>2</v>
      </c>
      <c r="E1" s="3"/>
      <c r="F1" t="s">
        <v>2</v>
      </c>
      <c r="G1" s="3" t="s">
        <v>3</v>
      </c>
    </row>
    <row r="2" spans="1:27" x14ac:dyDescent="0.2">
      <c r="A2" s="3">
        <v>46069</v>
      </c>
      <c r="B2" s="1"/>
      <c r="D2" cm="1">
        <f t="array" ref="D2:D31">_xlfn._xlws.SORT(_xlfn.UNIQUE((B2:B391)))</f>
        <v>679.64</v>
      </c>
      <c r="E2" s="3"/>
      <c r="F2" cm="1">
        <f t="array" ref="F2:F32">_xlfn._xlws.SORT(_xlfn.UNIQUE(C2:C2000))</f>
        <v>1</v>
      </c>
      <c r="G2" s="3" cm="1">
        <f t="array" ref="G2:H2">TRANSPOSE(_xlfn._xlws.FILTER($A$2:$A$2000, $C$2:$C$2000=F2))</f>
        <v>46082</v>
      </c>
      <c r="H2" s="3">
        <v>46083</v>
      </c>
      <c r="AA2" t="str" cm="1">
        <f t="array" ref="AA2">_xlfn.LET(_xlpm.dates, _xlfn._xlws.FILTER(G2:Z2, G2:Z2&lt;&gt;""),_xlpm.sorted,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"&amp;F2&amp;""": ["&amp;_xlpm.result&amp;"]")</f>
        <v>"Tier 1": [{"start": "2026-03-01", "end": "2026-03-01"},{"start": "2026-03-02", "end": "2026-03-02"}]</v>
      </c>
    </row>
    <row r="3" spans="1:27" x14ac:dyDescent="0.2">
      <c r="A3" s="3">
        <v>46070</v>
      </c>
      <c r="B3" s="1"/>
      <c r="D3">
        <v>682.16</v>
      </c>
      <c r="E3" s="3"/>
      <c r="F3">
        <v>2</v>
      </c>
      <c r="G3" s="3" cm="1">
        <f t="array" ref="G3">TRANSPOSE(_xlfn._xlws.FILTER($A$2:$A$2000, $C$2:$C$2000=F3))</f>
        <v>46141</v>
      </c>
      <c r="AA3" t="str" cm="1">
        <f t="array" ref="AA3">_xlfn.LET(_xlpm.dates, _xlfn._xlws.FILTER(G3:Z3, G3:Z3&lt;&gt;""),_xlpm.sorted,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"&amp;F3&amp;""": ["&amp;_xlpm.result&amp;"]")</f>
        <v>"Tier 2": [{"start": "2026-04-29", "end": "2026-04-29"}]</v>
      </c>
    </row>
    <row r="4" spans="1:27" x14ac:dyDescent="0.2">
      <c r="A4" s="3">
        <v>46071</v>
      </c>
      <c r="B4" s="1"/>
      <c r="D4">
        <v>682.68</v>
      </c>
      <c r="E4" s="3"/>
      <c r="F4">
        <v>3</v>
      </c>
      <c r="G4" s="3" cm="1">
        <f t="array" ref="G4">TRANSPOSE(_xlfn._xlws.FILTER($A$2:$A$2000, $C$2:$C$2000=F4))</f>
        <v>46139</v>
      </c>
      <c r="AA4" t="str" cm="1">
        <f t="array" ref="AA4">_xlfn.LET(_xlpm.dates, _xlfn._xlws.FILTER(G4:Z4, G4:Z4&lt;&gt;""),_xlpm.sorted,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"&amp;F4&amp;""": ["&amp;_xlpm.result&amp;"]")</f>
        <v>"Tier 3": [{"start": "2026-04-27", "end": "2026-04-27"}]</v>
      </c>
    </row>
    <row r="5" spans="1:27" x14ac:dyDescent="0.2">
      <c r="A5" s="3">
        <v>46072</v>
      </c>
      <c r="B5" s="1"/>
      <c r="D5">
        <v>685.71</v>
      </c>
      <c r="E5" s="3"/>
      <c r="F5">
        <v>4</v>
      </c>
      <c r="G5" s="3" cm="1">
        <f t="array" ref="G5">TRANSPOSE(_xlfn._xlws.FILTER($A$2:$A$2000, $C$2:$C$2000=F5))</f>
        <v>46084</v>
      </c>
      <c r="AA5" t="str" cm="1">
        <f t="array" ref="AA5">_xlfn.LET(_xlpm.dates, _xlfn._xlws.FILTER(G5:Z5, G5:Z5&lt;&gt;""),_xlpm.sorted,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"&amp;F5&amp;""": ["&amp;_xlpm.result&amp;"]")</f>
        <v>"Tier 4": [{"start": "2026-03-03", "end": "2026-03-03"}]</v>
      </c>
    </row>
    <row r="6" spans="1:27" x14ac:dyDescent="0.2">
      <c r="A6" s="3">
        <v>46073</v>
      </c>
      <c r="B6" s="1"/>
      <c r="D6">
        <v>687.24</v>
      </c>
      <c r="E6" s="3"/>
      <c r="F6">
        <v>5</v>
      </c>
      <c r="G6" s="3" cm="1">
        <f t="array" ref="G6">TRANSPOSE(_xlfn._xlws.FILTER($A$2:$A$2000, $C$2:$C$2000=F6))</f>
        <v>46138</v>
      </c>
      <c r="Q6">
        <f>A3-A2</f>
        <v>1</v>
      </c>
      <c r="AA6" t="str" cm="1">
        <f t="array" ref="AA6">_xlfn.LET(_xlpm.dates, _xlfn._xlws.FILTER(G6:Z6, G6:Z6&lt;&gt;""),_xlpm.sorted,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"&amp;F6&amp;""": ["&amp;_xlpm.result&amp;"]")</f>
        <v>"Tier 5": [{"start": "2026-04-26", "end": "2026-04-26"},{"start": "1900-01-01", "end": "1900-01-01"}]</v>
      </c>
    </row>
    <row r="7" spans="1:27" x14ac:dyDescent="0.2">
      <c r="A7" s="3">
        <v>46074</v>
      </c>
      <c r="B7" s="1"/>
      <c r="D7">
        <v>688.76</v>
      </c>
      <c r="E7" s="3"/>
      <c r="F7">
        <v>6</v>
      </c>
      <c r="G7" s="3" cm="1">
        <f t="array" ref="G7">TRANSPOSE(_xlfn._xlws.FILTER($A$2:$A$2000, $C$2:$C$2000=F7))</f>
        <v>46140</v>
      </c>
      <c r="AA7" t="str" cm="1">
        <f t="array" ref="AA7">_xlfn.LET(_xlpm.dates, _xlfn._xlws.FILTER(G7:Z7, G7:Z7&lt;&gt;""),_xlpm.sorted,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"&amp;F7&amp;""": ["&amp;_xlpm.result&amp;"]")</f>
        <v>"Tier 6": [{"start": "2026-04-28", "end": "2026-04-28"}]</v>
      </c>
    </row>
    <row r="8" spans="1:27" x14ac:dyDescent="0.2">
      <c r="A8" s="3">
        <v>46075</v>
      </c>
      <c r="B8" s="1"/>
      <c r="D8">
        <v>695.48</v>
      </c>
      <c r="E8" s="3"/>
      <c r="F8">
        <v>7</v>
      </c>
      <c r="G8" s="3" cm="1">
        <f t="array" ref="G8">TRANSPOSE(_xlfn._xlws.FILTER($A$2:$A$2000, $C$2:$C$2000=F8))</f>
        <v>46081</v>
      </c>
      <c r="AA8" t="str" cm="1">
        <f t="array" ref="AA8">_xlfn.LET(_xlpm.dates, _xlfn._xlws.FILTER(G8:Z8, G8:Z8&lt;&gt;""),_xlpm.sorted,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"&amp;F8&amp;""": ["&amp;_xlpm.result&amp;"]")</f>
        <v>"Tier 7": [{"start": "2026-02-28", "end": "2026-02-28"}]</v>
      </c>
    </row>
    <row r="9" spans="1:27" x14ac:dyDescent="0.2">
      <c r="A9" s="3">
        <v>46076</v>
      </c>
      <c r="B9" s="1"/>
      <c r="D9">
        <v>697.88</v>
      </c>
      <c r="E9" s="3"/>
      <c r="F9">
        <v>8</v>
      </c>
      <c r="G9" s="3" cm="1">
        <f t="array" ref="G9">TRANSPOSE(_xlfn._xlws.FILTER($A$2:$A$2000, $C$2:$C$2000=F9))</f>
        <v>46137</v>
      </c>
      <c r="AA9" t="str" cm="1">
        <f t="array" ref="AA9">_xlfn.LET(_xlpm.dates, _xlfn._xlws.FILTER(G9:Z9, G9:Z9&lt;&gt;""),_xlpm.sorted,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"&amp;F9&amp;""": ["&amp;_xlpm.result&amp;"]")</f>
        <v>"Tier 8": [{"start": "2026-04-25", "end": "2026-04-25"}]</v>
      </c>
    </row>
    <row r="10" spans="1:27" x14ac:dyDescent="0.2">
      <c r="A10" s="3">
        <v>46077</v>
      </c>
      <c r="B10" s="1"/>
      <c r="D10">
        <v>699.4</v>
      </c>
      <c r="E10" s="3"/>
      <c r="F10">
        <v>9</v>
      </c>
      <c r="G10" s="3" cm="1">
        <f t="array" ref="G10">TRANSPOSE(_xlfn._xlws.FILTER($A$2:$A$2000, $C$2:$C$2000=F10))</f>
        <v>46085</v>
      </c>
      <c r="AA10" t="str" cm="1">
        <f t="array" ref="AA10">_xlfn.LET(_xlpm.dates, _xlfn._xlws.FILTER(G10:Z10, G10:Z10&lt;&gt;""),_xlpm.sorted,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"&amp;F10&amp;""": ["&amp;_xlpm.result&amp;"]")</f>
        <v>"Tier 9": [{"start": "2026-03-04", "end": "2026-03-04"}]</v>
      </c>
    </row>
    <row r="11" spans="1:27" x14ac:dyDescent="0.2">
      <c r="A11" s="3">
        <v>46078</v>
      </c>
      <c r="B11" s="1"/>
      <c r="D11">
        <v>704.72</v>
      </c>
      <c r="E11" s="3"/>
      <c r="F11">
        <v>10</v>
      </c>
      <c r="G11" s="3" cm="1">
        <f t="array" ref="G11:H11">TRANSPOSE(_xlfn._xlws.FILTER($A$2:$A$2000, $C$2:$C$2000=F11))</f>
        <v>46104</v>
      </c>
      <c r="H11" s="3">
        <v>46142</v>
      </c>
      <c r="AA11" t="str" cm="1">
        <f t="array" ref="AA11">_xlfn.LET(_xlpm.dates, _xlfn._xlws.FILTER(G11:Z11, G11:Z11&lt;&gt;""),_xlpm.sorted,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"&amp;F11&amp;""": ["&amp;_xlpm.result&amp;"]")</f>
        <v>"Tier 10": [{"start": "2026-03-23", "end": "2026-03-23"},{"start": "2026-04-30", "end": "2026-04-30"}]</v>
      </c>
    </row>
    <row r="12" spans="1:27" x14ac:dyDescent="0.2">
      <c r="A12" s="3">
        <v>46079</v>
      </c>
      <c r="D12">
        <v>705.47</v>
      </c>
      <c r="E12" s="3"/>
      <c r="F12">
        <v>11</v>
      </c>
      <c r="G12" s="3" cm="1">
        <f t="array" ref="G12">TRANSPOSE(_xlfn._xlws.FILTER($A$2:$A$2000, $C$2:$C$2000=F12))</f>
        <v>46097</v>
      </c>
      <c r="AA12" t="str" cm="1">
        <f t="array" ref="AA12">_xlfn.LET(_xlpm.dates, _xlfn._xlws.FILTER(G12:Z12, G12:Z12&lt;&gt;""),_xlpm.sorted,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"&amp;F12&amp;""": ["&amp;_xlpm.result&amp;"]")</f>
        <v>"Tier 11": [{"start": "2026-03-16", "end": "2026-03-16"}]</v>
      </c>
    </row>
    <row r="13" spans="1:27" x14ac:dyDescent="0.2">
      <c r="A13" s="3">
        <v>46080</v>
      </c>
      <c r="B13" s="1">
        <v>710.78</v>
      </c>
      <c r="C13">
        <f t="shared" ref="C13:C76" si="0">MATCH(B13, $D$1:$D$195, 0)-1</f>
        <v>15</v>
      </c>
      <c r="D13">
        <v>707</v>
      </c>
      <c r="E13" s="3"/>
      <c r="F13">
        <v>12</v>
      </c>
      <c r="G13" s="3" cm="1">
        <f t="array" ref="G13:H13">TRANSPOSE(_xlfn._xlws.FILTER($A$2:$A$2000, $C$2:$C$2000=F13))</f>
        <v>46103</v>
      </c>
      <c r="H13" s="3">
        <v>46105</v>
      </c>
      <c r="AA13" t="str" cm="1">
        <f t="array" ref="AA13">_xlfn.LET(_xlpm.dates, _xlfn._xlws.FILTER(G13:Z13, G13:Z13&lt;&gt;""),_xlpm.sorted,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"&amp;F13&amp;""": ["&amp;_xlpm.result&amp;"]")</f>
        <v>"Tier 12": [{"start": "2026-03-22", "end": "2026-03-22"},{"start": "2026-03-24", "end": "2026-03-24"}]</v>
      </c>
    </row>
    <row r="14" spans="1:27" x14ac:dyDescent="0.2">
      <c r="A14" s="3">
        <v>46081</v>
      </c>
      <c r="B14" s="1">
        <v>695.48</v>
      </c>
      <c r="C14">
        <f t="shared" si="0"/>
        <v>7</v>
      </c>
      <c r="D14">
        <v>708.51</v>
      </c>
      <c r="E14" s="3"/>
      <c r="F14">
        <v>13</v>
      </c>
      <c r="G14" s="3" cm="1">
        <f t="array" ref="G14:H14">TRANSPOSE(_xlfn._xlws.FILTER($A$2:$A$2000, $C$2:$C$2000=F14))</f>
        <v>46096</v>
      </c>
      <c r="H14" s="3">
        <v>46099</v>
      </c>
      <c r="AA14" t="str" cm="1">
        <f t="array" ref="AA14">_xlfn.LET(_xlpm.dates, _xlfn._xlws.FILTER(G14:Z14, G14:Z14&lt;&gt;""),_xlpm.sorted,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"&amp;F14&amp;""": ["&amp;_xlpm.result&amp;"]")</f>
        <v>"Tier 13": [{"start": "2026-03-15", "end": "2026-03-15"},{"start": "2026-03-18", "end": "2026-03-18"}]</v>
      </c>
    </row>
    <row r="15" spans="1:27" x14ac:dyDescent="0.2">
      <c r="A15" s="3">
        <v>46082</v>
      </c>
      <c r="B15" s="1">
        <v>679.64</v>
      </c>
      <c r="C15">
        <f t="shared" si="0"/>
        <v>1</v>
      </c>
      <c r="D15">
        <v>709.28</v>
      </c>
      <c r="F15">
        <v>14</v>
      </c>
      <c r="G15" s="3" cm="1">
        <f t="array" ref="G15:H15">TRANSPOSE(_xlfn._xlws.FILTER($A$2:$A$2000, $C$2:$C$2000=F15))</f>
        <v>46124</v>
      </c>
      <c r="H15" s="3">
        <v>46125</v>
      </c>
      <c r="AA15" t="str" cm="1">
        <f t="array" ref="AA15">_xlfn.LET(_xlpm.dates, _xlfn._xlws.FILTER(G15:Z15, G15:Z15&lt;&gt;""),_xlpm.sorted,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"&amp;F15&amp;""": ["&amp;_xlpm.result&amp;"]")</f>
        <v>"Tier 14": [{"start": "2026-04-12", "end": "2026-04-12"},{"start": "2026-04-13", "end": "2026-04-13"}]</v>
      </c>
    </row>
    <row r="16" spans="1:27" x14ac:dyDescent="0.2">
      <c r="A16" s="3">
        <v>46083</v>
      </c>
      <c r="B16" s="1">
        <v>679.64</v>
      </c>
      <c r="C16">
        <f t="shared" si="0"/>
        <v>1</v>
      </c>
      <c r="D16">
        <v>710.78</v>
      </c>
      <c r="F16">
        <v>15</v>
      </c>
      <c r="G16" s="3" cm="1">
        <f t="array" ref="G16">TRANSPOSE(_xlfn._xlws.FILTER($A$2:$A$2000, $C$2:$C$2000=F16))</f>
        <v>46080</v>
      </c>
      <c r="AA16" t="str" cm="1">
        <f t="array" ref="AA16">_xlfn.LET(_xlpm.dates, _xlfn._xlws.FILTER(G16:Z16, G16:Z16&lt;&gt;""),_xlpm.sorted,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"&amp;F16&amp;""": ["&amp;_xlpm.result&amp;"]")</f>
        <v>"Tier 15": [{"start": "2026-02-27", "end": "2026-02-27"}]</v>
      </c>
    </row>
    <row r="17" spans="1:27" x14ac:dyDescent="0.2">
      <c r="A17" s="3">
        <v>46084</v>
      </c>
      <c r="B17" s="1">
        <v>685.71</v>
      </c>
      <c r="C17">
        <f t="shared" si="0"/>
        <v>4</v>
      </c>
      <c r="D17">
        <v>710.79</v>
      </c>
      <c r="F17">
        <v>16</v>
      </c>
      <c r="G17" s="3" cm="1">
        <f t="array" ref="G17">TRANSPOSE(_xlfn._xlws.FILTER($A$2:$A$2000, $C$2:$C$2000=F17))</f>
        <v>46102</v>
      </c>
      <c r="AA17" t="str" cm="1">
        <f t="array" ref="AA17">_xlfn.LET(_xlpm.dates, _xlfn._xlws.FILTER(G17:Z17, G17:Z17&lt;&gt;""),_xlpm.sorted,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"&amp;F17&amp;""": ["&amp;_xlpm.result&amp;"]")</f>
        <v>"Tier 16": [{"start": "2026-03-21", "end": "2026-03-21"}]</v>
      </c>
    </row>
    <row r="18" spans="1:27" x14ac:dyDescent="0.2">
      <c r="A18" s="3">
        <v>46085</v>
      </c>
      <c r="B18" s="1">
        <v>699.4</v>
      </c>
      <c r="C18">
        <f t="shared" si="0"/>
        <v>9</v>
      </c>
      <c r="D18">
        <v>712.32</v>
      </c>
      <c r="F18">
        <v>17</v>
      </c>
      <c r="G18" s="3" cm="1">
        <f t="array" ref="G18:H18">TRANSPOSE(_xlfn._xlws.FILTER($A$2:$A$2000, $C$2:$C$2000=F18))</f>
        <v>46086</v>
      </c>
      <c r="H18" s="3">
        <v>46136</v>
      </c>
      <c r="AA18" t="str" cm="1">
        <f t="array" ref="AA18">_xlfn.LET(_xlpm.dates, _xlfn._xlws.FILTER(G18:Z18, G18:Z18&lt;&gt;""),_xlpm.sorted,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"&amp;F18&amp;""": ["&amp;_xlpm.result&amp;"]")</f>
        <v>"Tier 17": [{"start": "2026-03-05", "end": "2026-03-05"},{"start": "2026-04-24", "end": "2026-04-24"}]</v>
      </c>
    </row>
    <row r="19" spans="1:27" x14ac:dyDescent="0.2">
      <c r="A19" s="3">
        <v>46086</v>
      </c>
      <c r="B19" s="1">
        <v>712.32</v>
      </c>
      <c r="C19">
        <f t="shared" si="0"/>
        <v>17</v>
      </c>
      <c r="D19">
        <v>713.09</v>
      </c>
      <c r="F19">
        <v>18</v>
      </c>
      <c r="G19" s="3" cm="1">
        <f t="array" ref="G19:J19">TRANSPOSE(_xlfn._xlws.FILTER($A$2:$A$2000, $C$2:$C$2000=F19))</f>
        <v>46100</v>
      </c>
      <c r="H19" s="3">
        <v>46106</v>
      </c>
      <c r="I19" s="3">
        <v>46131</v>
      </c>
      <c r="J19" s="3">
        <v>46132</v>
      </c>
      <c r="AA19" t="str" cm="1">
        <f t="array" ref="AA19">_xlfn.LET(_xlpm.dates, _xlfn._xlws.FILTER(G19:Z19, G19:Z19&lt;&gt;""),_xlpm.sorted,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"&amp;F19&amp;""": ["&amp;_xlpm.result&amp;"]")</f>
        <v>"Tier 18": [{"start": "2026-03-19", "end": "2026-03-19"},{"start": "2026-03-25", "end": "2026-03-25"},{"start": "2026-04-19", "end": "2026-04-19"},{"start": "2026-04-20", "end": "2026-04-20"}]</v>
      </c>
    </row>
    <row r="20" spans="1:27" x14ac:dyDescent="0.2">
      <c r="A20" s="3">
        <v>46087</v>
      </c>
      <c r="B20" s="1">
        <v>721.45</v>
      </c>
      <c r="C20">
        <f t="shared" si="0"/>
        <v>25</v>
      </c>
      <c r="D20">
        <v>713.85</v>
      </c>
      <c r="F20">
        <v>19</v>
      </c>
      <c r="G20" s="3" cm="1">
        <f t="array" ref="G20">TRANSPOSE(_xlfn._xlws.FILTER($A$2:$A$2000, $C$2:$C$2000=F20))</f>
        <v>46101</v>
      </c>
      <c r="AA20" t="str" cm="1">
        <f t="array" ref="AA20">_xlfn.LET(_xlpm.dates, _xlfn._xlws.FILTER(G20:Z20, G20:Z20&lt;&gt;""),_xlpm.sorted,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"&amp;F20&amp;""": ["&amp;_xlpm.result&amp;"]")</f>
        <v>"Tier 19": [{"start": "2026-03-20", "end": "2026-03-20"}]</v>
      </c>
    </row>
    <row r="21" spans="1:27" x14ac:dyDescent="0.2">
      <c r="A21" s="3">
        <v>46088</v>
      </c>
      <c r="B21" s="1">
        <v>722.98</v>
      </c>
      <c r="C21">
        <f t="shared" si="0"/>
        <v>27</v>
      </c>
      <c r="D21">
        <v>715.38</v>
      </c>
      <c r="F21">
        <v>20</v>
      </c>
      <c r="G21" s="3" cm="1">
        <f t="array" ref="G21:I21">TRANSPOSE(_xlfn._xlws.FILTER($A$2:$A$2000, $C$2:$C$2000=F21))</f>
        <v>46095</v>
      </c>
      <c r="H21" s="3">
        <v>46123</v>
      </c>
      <c r="I21" s="3">
        <v>46133</v>
      </c>
      <c r="AA21" t="str" cm="1">
        <f t="array" ref="AA21">_xlfn.LET(_xlpm.dates, _xlfn._xlws.FILTER(G21:Z21, G21:Z21&lt;&gt;""),_xlpm.sorted,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"&amp;F21&amp;""": ["&amp;_xlpm.result&amp;"]")</f>
        <v>"Tier 20": [{"start": "2026-03-14", "end": "2026-03-14"},{"start": "2026-04-11", "end": "2026-04-11"},{"start": "2026-04-21", "end": "2026-04-21"}]</v>
      </c>
    </row>
    <row r="22" spans="1:27" x14ac:dyDescent="0.2">
      <c r="A22" s="3">
        <v>46089</v>
      </c>
      <c r="B22" s="1">
        <v>720.69</v>
      </c>
      <c r="C22">
        <f t="shared" si="0"/>
        <v>24</v>
      </c>
      <c r="D22">
        <v>716.88</v>
      </c>
      <c r="F22">
        <v>21</v>
      </c>
      <c r="G22" s="3" cm="1">
        <f t="array" ref="G22:H22">TRANSPOSE(_xlfn._xlws.FILTER($A$2:$A$2000, $C$2:$C$2000=F22))</f>
        <v>46107</v>
      </c>
      <c r="H22" s="3">
        <v>46135</v>
      </c>
      <c r="AA22" t="str" cm="1">
        <f t="array" ref="AA22">_xlfn.LET(_xlpm.dates, _xlfn._xlws.FILTER(G22:Z22, G22:Z22&lt;&gt;""),_xlpm.sorted,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"&amp;F22&amp;""": ["&amp;_xlpm.result&amp;"]")</f>
        <v>"Tier 21": [{"start": "2026-03-26", "end": "2026-03-26"},{"start": "2026-04-23", "end": "2026-04-23"}]</v>
      </c>
    </row>
    <row r="23" spans="1:27" x14ac:dyDescent="0.2">
      <c r="A23" s="3">
        <v>46090</v>
      </c>
      <c r="B23" s="1">
        <v>720.69</v>
      </c>
      <c r="C23">
        <f t="shared" si="0"/>
        <v>24</v>
      </c>
      <c r="D23">
        <v>717.66</v>
      </c>
      <c r="F23">
        <v>22</v>
      </c>
      <c r="G23" s="3" cm="1">
        <f t="array" ref="G23:H23">TRANSPOSE(_xlfn._xlws.FILTER($A$2:$A$2000, $C$2:$C$2000=F23))</f>
        <v>46127</v>
      </c>
      <c r="H23" s="3">
        <v>46134</v>
      </c>
      <c r="AA23" t="str" cm="1">
        <f t="array" ref="AA23">_xlfn.LET(_xlpm.dates, _xlfn._xlws.FILTER(G23:Z23, G23:Z23&lt;&gt;""),_xlpm.sorted,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"&amp;F23&amp;""": ["&amp;_xlpm.result&amp;"]")</f>
        <v>"Tier 22": [{"start": "2026-04-15", "end": "2026-04-15"},{"start": "2026-04-22", "end": "2026-04-22"}]</v>
      </c>
    </row>
    <row r="24" spans="1:27" x14ac:dyDescent="0.2">
      <c r="A24" s="3">
        <v>46091</v>
      </c>
      <c r="B24" s="1">
        <v>722.98</v>
      </c>
      <c r="C24">
        <f t="shared" si="0"/>
        <v>27</v>
      </c>
      <c r="D24">
        <v>719.17</v>
      </c>
      <c r="F24">
        <v>23</v>
      </c>
      <c r="G24" s="3" cm="1">
        <f t="array" ref="G24">TRANSPOSE(_xlfn._xlws.FILTER($A$2:$A$2000, $C$2:$C$2000=F24))</f>
        <v>46130</v>
      </c>
      <c r="AA24" t="str" cm="1">
        <f t="array" ref="AA24">_xlfn.LET(_xlpm.dates, _xlfn._xlws.FILTER(G24:Z24, G24:Z24&lt;&gt;""),_xlpm.sorted,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"&amp;F24&amp;""": ["&amp;_xlpm.result&amp;"]")</f>
        <v>"Tier 23": [{"start": "2026-04-18", "end": "2026-04-18"}]</v>
      </c>
    </row>
    <row r="25" spans="1:27" x14ac:dyDescent="0.2">
      <c r="A25" s="3">
        <v>46092</v>
      </c>
      <c r="B25" s="1">
        <v>725.26</v>
      </c>
      <c r="C25">
        <f t="shared" si="0"/>
        <v>29</v>
      </c>
      <c r="D25">
        <v>720.69</v>
      </c>
      <c r="F25">
        <v>24</v>
      </c>
      <c r="G25" s="3" cm="1">
        <f t="array" ref="G25:M25">TRANSPOSE(_xlfn._xlws.FILTER($A$2:$A$2000, $C$2:$C$2000=F25))</f>
        <v>46089</v>
      </c>
      <c r="H25" s="3">
        <v>46090</v>
      </c>
      <c r="I25" s="3">
        <v>46108</v>
      </c>
      <c r="J25" s="3">
        <v>46110</v>
      </c>
      <c r="K25" s="3">
        <v>46111</v>
      </c>
      <c r="L25" s="3">
        <v>46117</v>
      </c>
      <c r="M25" s="3">
        <v>46118</v>
      </c>
      <c r="AA25" t="str" cm="1">
        <f t="array" ref="AA25">_xlfn.LET(_xlpm.dates, _xlfn._xlws.FILTER(G25:Z25, G25:Z25&lt;&gt;""),_xlpm.sorted,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"&amp;F25&amp;""": ["&amp;_xlpm.result&amp;"]")</f>
        <v>"Tier 24": [{"start": "2026-03-08", "end": "2026-03-08"},{"start": "2026-03-09", "end": "2026-03-09"},{"start": "2026-03-27", "end": "2026-03-27"},{"start": "2026-03-29", "end": "2026-03-29"},{"start": "2026-03-30", "end": "2026-03-30"},{"start": "2026-04-05", "end": "2026-04-05"},{"start": "2026-04-06", "end": "2026-04-06"}]</v>
      </c>
    </row>
    <row r="26" spans="1:27" x14ac:dyDescent="0.2">
      <c r="A26" s="3">
        <v>46093</v>
      </c>
      <c r="B26" s="1">
        <v>723.73</v>
      </c>
      <c r="C26">
        <f t="shared" si="0"/>
        <v>28</v>
      </c>
      <c r="D26">
        <v>721.45</v>
      </c>
      <c r="F26">
        <v>25</v>
      </c>
      <c r="G26" s="3" cm="1">
        <f t="array" ref="G26:I26">TRANSPOSE(_xlfn._xlws.FILTER($A$2:$A$2000, $C$2:$C$2000=F26))</f>
        <v>46087</v>
      </c>
      <c r="H26" s="3">
        <v>46122</v>
      </c>
      <c r="I26" s="3">
        <v>46128</v>
      </c>
      <c r="AA26" t="str" cm="1">
        <f t="array" ref="AA26">_xlfn.LET(_xlpm.dates, _xlfn._xlws.FILTER(G26:Z26, G26:Z26&lt;&gt;""),_xlpm.sorted,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"&amp;F26&amp;""": ["&amp;_xlpm.result&amp;"]")</f>
        <v>"Tier 25": [{"start": "2026-03-06", "end": "2026-03-06"},{"start": "2026-04-10", "end": "2026-04-10"},{"start": "2026-04-16", "end": "2026-04-16"}]</v>
      </c>
    </row>
    <row r="27" spans="1:27" x14ac:dyDescent="0.2">
      <c r="A27" s="3">
        <v>46094</v>
      </c>
      <c r="B27" s="1">
        <v>722.2</v>
      </c>
      <c r="C27">
        <f t="shared" si="0"/>
        <v>26</v>
      </c>
      <c r="D27">
        <v>722.2</v>
      </c>
      <c r="F27">
        <v>26</v>
      </c>
      <c r="G27" s="3" cm="1">
        <f t="array" ref="G27">TRANSPOSE(_xlfn._xlws.FILTER($A$2:$A$2000, $C$2:$C$2000=F27))</f>
        <v>46094</v>
      </c>
      <c r="AA27" t="str" cm="1">
        <f t="array" ref="AA27">_xlfn.LET(_xlpm.dates, _xlfn._xlws.FILTER(G27:Z27, G27:Z27&lt;&gt;""),_xlpm.sorted,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"&amp;F27&amp;""": ["&amp;_xlpm.result&amp;"]")</f>
        <v>"Tier 26": [{"start": "2026-03-13", "end": "2026-03-13"}]</v>
      </c>
    </row>
    <row r="28" spans="1:27" x14ac:dyDescent="0.2">
      <c r="A28" s="3">
        <v>46095</v>
      </c>
      <c r="B28" s="1">
        <v>715.38</v>
      </c>
      <c r="C28">
        <f t="shared" si="0"/>
        <v>20</v>
      </c>
      <c r="D28">
        <v>722.98</v>
      </c>
      <c r="F28">
        <v>27</v>
      </c>
      <c r="G28" s="3" cm="1">
        <f t="array" ref="G28:L28">TRANSPOSE(_xlfn._xlws.FILTER($A$2:$A$2000, $C$2:$C$2000=F28))</f>
        <v>46088</v>
      </c>
      <c r="H28" s="3">
        <v>46091</v>
      </c>
      <c r="I28" s="3">
        <v>46109</v>
      </c>
      <c r="J28" s="3">
        <v>46112</v>
      </c>
      <c r="K28" s="3">
        <v>46116</v>
      </c>
      <c r="L28" s="3">
        <v>46119</v>
      </c>
      <c r="AA28" t="str" cm="1">
        <f t="array" ref="AA28">_xlfn.LET(_xlpm.dates, _xlfn._xlws.FILTER(G28:Z28, G28:Z28&lt;&gt;""),_xlpm.sorted,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"&amp;F28&amp;""": ["&amp;_xlpm.result&amp;"]")</f>
        <v>"Tier 27": [{"start": "2026-03-07", "end": "2026-03-07"},{"start": "2026-03-10", "end": "2026-03-10"},{"start": "2026-03-28", "end": "2026-03-28"},{"start": "2026-03-31", "end": "2026-03-31"},{"start": "2026-04-04", "end": "2026-04-04"},{"start": "2026-04-07", "end": "2026-04-07"}]</v>
      </c>
    </row>
    <row r="29" spans="1:27" x14ac:dyDescent="0.2">
      <c r="A29" s="3">
        <v>46096</v>
      </c>
      <c r="B29" s="1">
        <v>708.51</v>
      </c>
      <c r="C29">
        <f t="shared" si="0"/>
        <v>13</v>
      </c>
      <c r="D29">
        <v>723.73</v>
      </c>
      <c r="F29">
        <v>28</v>
      </c>
      <c r="G29" s="3" cm="1">
        <f t="array" ref="G29">TRANSPOSE(_xlfn._xlws.FILTER($A$2:$A$2000, $C$2:$C$2000=F29))</f>
        <v>46093</v>
      </c>
      <c r="AA29" t="str" cm="1">
        <f t="array" ref="AA29">_xlfn.LET(_xlpm.dates, _xlfn._xlws.FILTER(G29:Z29, G29:Z29&lt;&gt;""),_xlpm.sorted,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"&amp;F29&amp;""": ["&amp;_xlpm.result&amp;"]")</f>
        <v>"Tier 28": [{"start": "2026-03-12", "end": "2026-03-12"}]</v>
      </c>
    </row>
    <row r="30" spans="1:27" x14ac:dyDescent="0.2">
      <c r="A30" s="3">
        <v>46097</v>
      </c>
      <c r="B30" s="1">
        <v>705.47</v>
      </c>
      <c r="C30">
        <f t="shared" si="0"/>
        <v>11</v>
      </c>
      <c r="D30">
        <v>725.26</v>
      </c>
      <c r="F30">
        <v>29</v>
      </c>
      <c r="G30" s="3" cm="1">
        <f t="array" ref="G30:M30">TRANSPOSE(_xlfn._xlws.FILTER($A$2:$A$2000, $C$2:$C$2000=F30))</f>
        <v>46092</v>
      </c>
      <c r="H30" s="3">
        <v>46113</v>
      </c>
      <c r="I30" s="3">
        <v>46114</v>
      </c>
      <c r="J30" s="3">
        <v>46115</v>
      </c>
      <c r="K30" s="3">
        <v>46120</v>
      </c>
      <c r="L30" s="3">
        <v>46121</v>
      </c>
      <c r="M30" s="3">
        <v>46129</v>
      </c>
      <c r="AA30" t="str" cm="1">
        <f t="array" ref="AA30">_xlfn.LET(_xlpm.dates, _xlfn._xlws.FILTER(G30:Z30, G30:Z30&lt;&gt;""),_xlpm.sorted,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"&amp;F30&amp;""": ["&amp;_xlpm.result&amp;"]")</f>
        <v>"Tier 29": [{"start": "2026-03-11", "end": "2026-03-11"},{"start": "2026-04-01", "end": "2026-04-01"},{"start": "2026-04-02", "end": "2026-04-02"},{"start": "2026-04-03", "end": "2026-04-03"},{"start": "2026-04-08", "end": "2026-04-08"},{"start": "2026-04-09", "end": "2026-04-09"},{"start": "2026-04-17", "end": "2026-04-17"}]</v>
      </c>
    </row>
    <row r="31" spans="1:27" x14ac:dyDescent="0.2">
      <c r="A31" s="3">
        <v>46098</v>
      </c>
      <c r="B31" s="1">
        <v>707</v>
      </c>
      <c r="D31">
        <v>0</v>
      </c>
      <c r="F31">
        <v>30</v>
      </c>
      <c r="G31" s="3" t="e" cm="1" vm="1">
        <f t="array" aca="1" ref="G31" ca="1">TRANSPOSE(_xlfn._xlws.FILTER($A$2:$A$2000, $C$2:$C$2000=F31))</f>
        <v>#VALUE!</v>
      </c>
      <c r="AA31" t="e" cm="1" vm="2">
        <f t="array" aca="1" ref="AA31" ca="1">_xlfn.LET(_xlpm.dates, _xlfn._xlws.FILTER(G31:Z31, G31:Z31&lt;&gt;""),_xlpm.sorted,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"&amp;F31&amp;""": ["&amp;_xlpm.result&amp;"]")</f>
        <v>#VALUE!</v>
      </c>
    </row>
    <row r="32" spans="1:27" x14ac:dyDescent="0.2">
      <c r="A32" s="3">
        <v>46099</v>
      </c>
      <c r="B32" s="1">
        <v>708.51</v>
      </c>
      <c r="C32">
        <f t="shared" ref="C32:C95" si="1">MATCH(B32, $D$1:$D$195, 0)-1</f>
        <v>13</v>
      </c>
      <c r="F32">
        <v>0</v>
      </c>
      <c r="G32" s="3" t="e" cm="1" vm="3">
        <f t="array" aca="1" ref="G32" ca="1">TRANSPOSE(_xlfn._xlws.FILTER($A$2:$A$2000, $C$2:$C$2000=F32))</f>
        <v>#VALUE!</v>
      </c>
      <c r="AA32" t="e" cm="1" vm="2">
        <f t="array" aca="1" ref="AA32" ca="1">_xlfn.LET(_xlpm.dates, _xlfn._xlws.FILTER(G32:Z32, G32:Z32&lt;&gt;""),_xlpm.sorted,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"&amp;F32&amp;""": ["&amp;_xlpm.result&amp;"]")</f>
        <v>#VALUE!</v>
      </c>
    </row>
    <row r="33" spans="1:27" x14ac:dyDescent="0.2">
      <c r="A33" s="3">
        <v>46100</v>
      </c>
      <c r="B33" s="1">
        <v>713.09</v>
      </c>
      <c r="C33">
        <f t="shared" si="1"/>
        <v>18</v>
      </c>
      <c r="G33" s="3" t="e" cm="1" vm="3">
        <f t="array" aca="1" ref="G33" ca="1">TRANSPOSE(_xlfn._xlws.FILTER($A$2:$A$2000, $C$2:$C$2000=F33))</f>
        <v>#VALUE!</v>
      </c>
      <c r="AA33" t="e" cm="1" vm="2">
        <f t="array" aca="1" ref="AA33" ca="1">_xlfn.LET(_xlpm.dates, _xlfn._xlws.FILTER(G33:Z33, G33:Z33&lt;&gt;""),_xlpm.sorted,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"&amp;F33&amp;""": ["&amp;_xlpm.result&amp;"]")</f>
        <v>#VALUE!</v>
      </c>
    </row>
    <row r="34" spans="1:27" x14ac:dyDescent="0.2">
      <c r="A34" s="3">
        <v>46101</v>
      </c>
      <c r="B34" s="1">
        <v>713.85</v>
      </c>
      <c r="C34">
        <f t="shared" si="1"/>
        <v>19</v>
      </c>
      <c r="G34" s="3" t="e" cm="1" vm="3">
        <f t="array" aca="1" ref="G34" ca="1">TRANSPOSE(_xlfn._xlws.FILTER($A$2:$A$2000, $C$2:$C$2000=F34))</f>
        <v>#VALUE!</v>
      </c>
      <c r="AA34" t="e" cm="1" vm="2">
        <f t="array" aca="1" ref="AA34" ca="1">_xlfn.LET(_xlpm.dates, _xlfn._xlws.FILTER(G34:Z34, G34:Z34&lt;&gt;""),_xlpm.sorted,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"&amp;F34&amp;""": ["&amp;_xlpm.result&amp;"]")</f>
        <v>#VALUE!</v>
      </c>
    </row>
    <row r="35" spans="1:27" x14ac:dyDescent="0.2">
      <c r="A35" s="3">
        <v>46102</v>
      </c>
      <c r="B35" s="1">
        <v>710.79</v>
      </c>
      <c r="C35">
        <f t="shared" si="1"/>
        <v>16</v>
      </c>
      <c r="G35" s="3" t="e" cm="1" vm="3">
        <f t="array" aca="1" ref="G35" ca="1">TRANSPOSE(_xlfn._xlws.FILTER($A$2:$A$2000, $C$2:$C$2000=F35))</f>
        <v>#VALUE!</v>
      </c>
      <c r="AA35" t="e" cm="1" vm="2">
        <f t="array" aca="1" ref="AA35" ca="1">_xlfn.LET(_xlpm.dates, _xlfn._xlws.FILTER(G35:Z35, G35:Z35&lt;&gt;""),_xlpm.sorted,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"&amp;F35&amp;""": ["&amp;_xlpm.result&amp;"]")</f>
        <v>#VALUE!</v>
      </c>
    </row>
    <row r="36" spans="1:27" x14ac:dyDescent="0.2">
      <c r="A36" s="3">
        <v>46103</v>
      </c>
      <c r="B36" s="1">
        <v>707</v>
      </c>
      <c r="C36">
        <f t="shared" si="1"/>
        <v>12</v>
      </c>
      <c r="G36" s="3" t="e" cm="1" vm="3">
        <f t="array" aca="1" ref="G36" ca="1">TRANSPOSE(_xlfn._xlws.FILTER($A$2:$A$2000, $C$2:$C$2000=F36))</f>
        <v>#VALUE!</v>
      </c>
      <c r="AA36" t="e" cm="1" vm="2">
        <f t="array" aca="1" ref="AA36" ca="1">_xlfn.LET(_xlpm.dates, _xlfn._xlws.FILTER(G36:Z36, G36:Z36&lt;&gt;""),_xlpm.sorted,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"&amp;F36&amp;""": ["&amp;_xlpm.result&amp;"]")</f>
        <v>#VALUE!</v>
      </c>
    </row>
    <row r="37" spans="1:27" x14ac:dyDescent="0.2">
      <c r="A37" s="3">
        <v>46104</v>
      </c>
      <c r="B37" s="1">
        <v>704.72</v>
      </c>
      <c r="C37">
        <f t="shared" si="1"/>
        <v>10</v>
      </c>
      <c r="G37" s="3" t="e" cm="1" vm="3">
        <f t="array" aca="1" ref="G37" ca="1">TRANSPOSE(_xlfn._xlws.FILTER($A$2:$A$2000, $C$2:$C$2000=F37))</f>
        <v>#VALUE!</v>
      </c>
      <c r="AA37" t="e" cm="1" vm="2">
        <f t="array" aca="1" ref="AA37" ca="1">_xlfn.LET(_xlpm.dates, _xlfn._xlws.FILTER(G37:Z37, G37:Z37&lt;&gt;""),_xlpm.sorted,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"&amp;F37&amp;""": ["&amp;_xlpm.result&amp;"]")</f>
        <v>#VALUE!</v>
      </c>
    </row>
    <row r="38" spans="1:27" x14ac:dyDescent="0.2">
      <c r="A38" s="3">
        <v>46105</v>
      </c>
      <c r="B38" s="1">
        <v>707</v>
      </c>
      <c r="C38">
        <f t="shared" si="1"/>
        <v>12</v>
      </c>
      <c r="G38" s="3" t="e" cm="1" vm="3">
        <f t="array" aca="1" ref="G38" ca="1">TRANSPOSE(_xlfn._xlws.FILTER($A$2:$A$2000, $C$2:$C$2000=F38))</f>
        <v>#VALUE!</v>
      </c>
      <c r="AA38" t="e" cm="1" vm="2">
        <f t="array" aca="1" ref="AA38" ca="1">_xlfn.LET(_xlpm.dates, _xlfn._xlws.FILTER(G38:Z38, G38:Z38&lt;&gt;""),_xlpm.sorted,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"&amp;F38&amp;""": ["&amp;_xlpm.result&amp;"]")</f>
        <v>#VALUE!</v>
      </c>
    </row>
    <row r="39" spans="1:27" x14ac:dyDescent="0.2">
      <c r="A39" s="3">
        <v>46106</v>
      </c>
      <c r="B39" s="1">
        <v>713.09</v>
      </c>
      <c r="C39">
        <f t="shared" si="1"/>
        <v>18</v>
      </c>
      <c r="G39" s="3" t="e" cm="1" vm="3">
        <f t="array" aca="1" ref="G39" ca="1">TRANSPOSE(_xlfn._xlws.FILTER($A$2:$A$2000, $C$2:$C$2000=F39))</f>
        <v>#VALUE!</v>
      </c>
      <c r="AA39" t="e" cm="1" vm="2">
        <f t="array" aca="1" ref="AA39" ca="1">_xlfn.LET(_xlpm.dates, _xlfn._xlws.FILTER(G39:Z39, G39:Z39&lt;&gt;""),_xlpm.sorted,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"&amp;F39&amp;""": ["&amp;_xlpm.result&amp;"]")</f>
        <v>#VALUE!</v>
      </c>
    </row>
    <row r="40" spans="1:27" x14ac:dyDescent="0.2">
      <c r="A40" s="3">
        <v>46107</v>
      </c>
      <c r="B40" s="1">
        <v>716.88</v>
      </c>
      <c r="C40">
        <f t="shared" si="1"/>
        <v>21</v>
      </c>
      <c r="G40" s="3" t="e" cm="1" vm="3">
        <f t="array" aca="1" ref="G40" ca="1">TRANSPOSE(_xlfn._xlws.FILTER($A$2:$A$2000, $C$2:$C$2000=F40))</f>
        <v>#VALUE!</v>
      </c>
      <c r="AA40" t="e" cm="1" vm="2">
        <f t="array" aca="1" ref="AA40" ca="1">_xlfn.LET(_xlpm.dates, _xlfn._xlws.FILTER(G40:Z40, G40:Z40&lt;&gt;""),_xlpm.sorted,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"&amp;F40&amp;""": ["&amp;_xlpm.result&amp;"]")</f>
        <v>#VALUE!</v>
      </c>
    </row>
    <row r="41" spans="1:27" x14ac:dyDescent="0.2">
      <c r="A41" s="3">
        <v>46108</v>
      </c>
      <c r="B41" s="1">
        <v>720.69</v>
      </c>
      <c r="C41">
        <f t="shared" si="1"/>
        <v>24</v>
      </c>
      <c r="G41" s="3" t="e" cm="1" vm="3">
        <f t="array" aca="1" ref="G41" ca="1">TRANSPOSE(_xlfn._xlws.FILTER($A$2:$A$2000, $C$2:$C$2000=F41))</f>
        <v>#VALUE!</v>
      </c>
      <c r="AA41" t="e" cm="1" vm="2">
        <f t="array" aca="1" ref="AA41" ca="1">_xlfn.LET(_xlpm.dates, _xlfn._xlws.FILTER(G41:Z41, G41:Z41&lt;&gt;""),_xlpm.sorted,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"&amp;F41&amp;""": ["&amp;_xlpm.result&amp;"]")</f>
        <v>#VALUE!</v>
      </c>
    </row>
    <row r="42" spans="1:27" x14ac:dyDescent="0.2">
      <c r="A42" s="3">
        <v>46109</v>
      </c>
      <c r="B42" s="1">
        <v>722.98</v>
      </c>
      <c r="C42">
        <f t="shared" si="1"/>
        <v>27</v>
      </c>
      <c r="G42" s="3" t="e" cm="1" vm="3">
        <f t="array" aca="1" ref="G42" ca="1">TRANSPOSE(_xlfn._xlws.FILTER($A$2:$A$2000, $C$2:$C$2000=F42))</f>
        <v>#VALUE!</v>
      </c>
      <c r="AA42" t="e" cm="1" vm="2">
        <f t="array" aca="1" ref="AA42" ca="1">_xlfn.LET(_xlpm.dates, _xlfn._xlws.FILTER(G42:Z42, G42:Z42&lt;&gt;""),_xlpm.sorted,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"&amp;F42&amp;""": ["&amp;_xlpm.result&amp;"]")</f>
        <v>#VALUE!</v>
      </c>
    </row>
    <row r="43" spans="1:27" x14ac:dyDescent="0.2">
      <c r="A43" s="3">
        <v>46110</v>
      </c>
      <c r="B43" s="1">
        <v>720.69</v>
      </c>
      <c r="C43">
        <f t="shared" si="1"/>
        <v>24</v>
      </c>
      <c r="G43" s="3" t="e" cm="1" vm="3">
        <f t="array" aca="1" ref="G43" ca="1">TRANSPOSE(_xlfn._xlws.FILTER($A$2:$A$2000, $C$2:$C$2000=F43))</f>
        <v>#VALUE!</v>
      </c>
      <c r="AA43" t="e" cm="1" vm="2">
        <f t="array" aca="1" ref="AA43" ca="1">_xlfn.LET(_xlpm.dates, _xlfn._xlws.FILTER(G43:Z43, G43:Z43&lt;&gt;""),_xlpm.sorted,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"&amp;F43&amp;""": ["&amp;_xlpm.result&amp;"]")</f>
        <v>#VALUE!</v>
      </c>
    </row>
    <row r="44" spans="1:27" x14ac:dyDescent="0.2">
      <c r="A44" s="3">
        <v>46111</v>
      </c>
      <c r="B44" s="1">
        <v>720.69</v>
      </c>
      <c r="C44">
        <f t="shared" si="1"/>
        <v>24</v>
      </c>
      <c r="G44" s="3" t="e" cm="1" vm="3">
        <f t="array" aca="1" ref="G44" ca="1">TRANSPOSE(_xlfn._xlws.FILTER($A$2:$A$2000, $C$2:$C$2000=F44))</f>
        <v>#VALUE!</v>
      </c>
      <c r="AA44" t="e" cm="1" vm="2">
        <f t="array" aca="1" ref="AA44" ca="1">_xlfn.LET(_xlpm.dates, _xlfn._xlws.FILTER(G44:Z44, G44:Z44&lt;&gt;""),_xlpm.sorted,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"&amp;F44&amp;""": ["&amp;_xlpm.result&amp;"]")</f>
        <v>#VALUE!</v>
      </c>
    </row>
    <row r="45" spans="1:27" x14ac:dyDescent="0.2">
      <c r="A45" s="3">
        <v>46112</v>
      </c>
      <c r="B45" s="1">
        <v>722.98</v>
      </c>
      <c r="C45">
        <f t="shared" si="1"/>
        <v>27</v>
      </c>
      <c r="G45" s="3" t="e" cm="1" vm="3">
        <f t="array" aca="1" ref="G45" ca="1">TRANSPOSE(_xlfn._xlws.FILTER($A$2:$A$2000, $C$2:$C$2000=F45))</f>
        <v>#VALUE!</v>
      </c>
      <c r="AA45" t="e" cm="1" vm="2">
        <f t="array" aca="1" ref="AA45" ca="1">_xlfn.LET(_xlpm.dates, _xlfn._xlws.FILTER(G45:Z45, G45:Z45&lt;&gt;""),_xlpm.sorted,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"&amp;F45&amp;""": ["&amp;_xlpm.result&amp;"]")</f>
        <v>#VALUE!</v>
      </c>
    </row>
    <row r="46" spans="1:27" x14ac:dyDescent="0.2">
      <c r="A46" s="3">
        <v>46113</v>
      </c>
      <c r="B46" s="2">
        <v>725.26</v>
      </c>
      <c r="C46">
        <f t="shared" si="1"/>
        <v>29</v>
      </c>
      <c r="G46" s="3" t="e" cm="1" vm="3">
        <f t="array" aca="1" ref="G46" ca="1">TRANSPOSE(_xlfn._xlws.FILTER($A$2:$A$2000, $C$2:$C$2000=F46))</f>
        <v>#VALUE!</v>
      </c>
      <c r="AA46" t="e" cm="1" vm="2">
        <f t="array" aca="1" ref="AA46" ca="1">_xlfn.LET(_xlpm.dates, _xlfn._xlws.FILTER(G46:Z46, G46:Z46&lt;&gt;""),_xlpm.sorted,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"&amp;F46&amp;""": ["&amp;_xlpm.result&amp;"]")</f>
        <v>#VALUE!</v>
      </c>
    </row>
    <row r="47" spans="1:27" x14ac:dyDescent="0.2">
      <c r="A47" s="3">
        <v>46114</v>
      </c>
      <c r="B47" s="2">
        <v>725.26</v>
      </c>
      <c r="C47">
        <f t="shared" si="1"/>
        <v>29</v>
      </c>
      <c r="G47" s="3" t="e" cm="1" vm="3">
        <f t="array" aca="1" ref="G47" ca="1">TRANSPOSE(_xlfn._xlws.FILTER($A$2:$A$2000, $C$2:$C$2000=F47))</f>
        <v>#VALUE!</v>
      </c>
      <c r="AA47" t="e" cm="1" vm="2">
        <f t="array" aca="1" ref="AA47" ca="1">_xlfn.LET(_xlpm.dates, _xlfn._xlws.FILTER(G47:Z47, G47:Z47&lt;&gt;""),_xlpm.sorted,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"&amp;F47&amp;""": ["&amp;_xlpm.result&amp;"]")</f>
        <v>#VALUE!</v>
      </c>
    </row>
    <row r="48" spans="1:27" x14ac:dyDescent="0.2">
      <c r="A48" s="3">
        <v>46115</v>
      </c>
      <c r="B48" s="2">
        <v>725.26</v>
      </c>
      <c r="C48">
        <f t="shared" si="1"/>
        <v>29</v>
      </c>
      <c r="G48" s="3" t="e" cm="1" vm="3">
        <f t="array" aca="1" ref="G48" ca="1">TRANSPOSE(_xlfn._xlws.FILTER($A$2:$A$2000, $C$2:$C$2000=F48))</f>
        <v>#VALUE!</v>
      </c>
      <c r="AA48" t="e" cm="1" vm="2">
        <f t="array" aca="1" ref="AA48" ca="1">_xlfn.LET(_xlpm.dates, _xlfn._xlws.FILTER(G48:Z48, G48:Z48&lt;&gt;""),_xlpm.sorted,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"&amp;F48&amp;""": ["&amp;_xlpm.result&amp;"]")</f>
        <v>#VALUE!</v>
      </c>
    </row>
    <row r="49" spans="1:27" x14ac:dyDescent="0.2">
      <c r="A49" s="3">
        <v>46116</v>
      </c>
      <c r="B49" s="2">
        <v>722.98</v>
      </c>
      <c r="C49">
        <f t="shared" si="1"/>
        <v>27</v>
      </c>
      <c r="G49" s="3" t="e" cm="1" vm="3">
        <f t="array" aca="1" ref="G49" ca="1">TRANSPOSE(_xlfn._xlws.FILTER($A$2:$A$2000, $C$2:$C$2000=F49))</f>
        <v>#VALUE!</v>
      </c>
      <c r="AA49" t="e" cm="1" vm="2">
        <f t="array" aca="1" ref="AA49" ca="1">_xlfn.LET(_xlpm.dates, _xlfn._xlws.FILTER(G49:Z49, G49:Z49&lt;&gt;""),_xlpm.sorted,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"&amp;F49&amp;""": ["&amp;_xlpm.result&amp;"]")</f>
        <v>#VALUE!</v>
      </c>
    </row>
    <row r="50" spans="1:27" x14ac:dyDescent="0.2">
      <c r="A50" s="3">
        <v>46117</v>
      </c>
      <c r="B50" s="2">
        <v>720.69</v>
      </c>
      <c r="C50">
        <f t="shared" si="1"/>
        <v>24</v>
      </c>
      <c r="G50" s="3" t="e" cm="1" vm="3">
        <f t="array" aca="1" ref="G50" ca="1">TRANSPOSE(_xlfn._xlws.FILTER($A$2:$A$2000, $C$2:$C$2000=F50))</f>
        <v>#VALUE!</v>
      </c>
      <c r="AA50" t="e" cm="1" vm="2">
        <f t="array" aca="1" ref="AA50" ca="1">_xlfn.LET(_xlpm.dates, _xlfn._xlws.FILTER(G50:Z50, G50:Z50&lt;&gt;""),_xlpm.sorted,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"&amp;F50&amp;""": ["&amp;_xlpm.result&amp;"]")</f>
        <v>#VALUE!</v>
      </c>
    </row>
    <row r="51" spans="1:27" x14ac:dyDescent="0.2">
      <c r="A51" s="3">
        <v>46118</v>
      </c>
      <c r="B51" s="2">
        <v>720.69</v>
      </c>
      <c r="C51">
        <f t="shared" si="1"/>
        <v>24</v>
      </c>
      <c r="G51" s="3" t="e" cm="1" vm="3">
        <f t="array" aca="1" ref="G51" ca="1">TRANSPOSE(_xlfn._xlws.FILTER($A$2:$A$2000, $C$2:$C$2000=F51))</f>
        <v>#VALUE!</v>
      </c>
      <c r="AA51" t="e" cm="1" vm="2">
        <f t="array" aca="1" ref="AA51" ca="1">_xlfn.LET(_xlpm.dates, _xlfn._xlws.FILTER(G51:Z51, G51:Z51&lt;&gt;""),_xlpm.sorted,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"&amp;F51&amp;""": ["&amp;_xlpm.result&amp;"]")</f>
        <v>#VALUE!</v>
      </c>
    </row>
    <row r="52" spans="1:27" x14ac:dyDescent="0.2">
      <c r="A52" s="3">
        <v>46119</v>
      </c>
      <c r="B52" s="2">
        <v>722.98</v>
      </c>
      <c r="C52">
        <f t="shared" si="1"/>
        <v>27</v>
      </c>
      <c r="G52" s="3" t="e" cm="1" vm="3">
        <f t="array" aca="1" ref="G52" ca="1">TRANSPOSE(_xlfn._xlws.FILTER($A$2:$A$2000, $C$2:$C$2000=F52))</f>
        <v>#VALUE!</v>
      </c>
      <c r="AA52" t="e" cm="1" vm="2">
        <f t="array" aca="1" ref="AA52" ca="1">_xlfn.LET(_xlpm.dates, _xlfn._xlws.FILTER(G52:Z52, G52:Z52&lt;&gt;""),_xlpm.sorted,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"&amp;F52&amp;""": ["&amp;_xlpm.result&amp;"]")</f>
        <v>#VALUE!</v>
      </c>
    </row>
    <row r="53" spans="1:27" x14ac:dyDescent="0.2">
      <c r="A53" s="3">
        <v>46120</v>
      </c>
      <c r="B53" s="2">
        <v>725.26</v>
      </c>
      <c r="C53">
        <f t="shared" si="1"/>
        <v>29</v>
      </c>
      <c r="G53" s="3" t="e" cm="1" vm="3">
        <f t="array" aca="1" ref="G53" ca="1">TRANSPOSE(_xlfn._xlws.FILTER($A$2:$A$2000, $C$2:$C$2000=F53))</f>
        <v>#VALUE!</v>
      </c>
      <c r="AA53" t="e" cm="1" vm="2">
        <f t="array" aca="1" ref="AA53" ca="1">_xlfn.LET(_xlpm.dates, _xlfn._xlws.FILTER(G53:Z53, G53:Z53&lt;&gt;""),_xlpm.sorted,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"&amp;F53&amp;""": ["&amp;_xlpm.result&amp;"]")</f>
        <v>#VALUE!</v>
      </c>
    </row>
    <row r="54" spans="1:27" x14ac:dyDescent="0.2">
      <c r="A54" s="3">
        <v>46121</v>
      </c>
      <c r="B54" s="2">
        <v>725.26</v>
      </c>
      <c r="C54">
        <f t="shared" si="1"/>
        <v>29</v>
      </c>
      <c r="G54" s="3" t="e" cm="1" vm="3">
        <f t="array" aca="1" ref="G54" ca="1">TRANSPOSE(_xlfn._xlws.FILTER($A$2:$A$2000, $C$2:$C$2000=F54))</f>
        <v>#VALUE!</v>
      </c>
      <c r="AA54" t="e" cm="1" vm="2">
        <f t="array" aca="1" ref="AA54" ca="1">_xlfn.LET(_xlpm.dates, _xlfn._xlws.FILTER(G54:Z54, G54:Z54&lt;&gt;""),_xlpm.sorted,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"&amp;F54&amp;""": ["&amp;_xlpm.result&amp;"]")</f>
        <v>#VALUE!</v>
      </c>
    </row>
    <row r="55" spans="1:27" x14ac:dyDescent="0.2">
      <c r="A55" s="3">
        <v>46122</v>
      </c>
      <c r="B55" s="2">
        <v>721.45</v>
      </c>
      <c r="C55">
        <f t="shared" si="1"/>
        <v>25</v>
      </c>
      <c r="G55" s="3" t="e" cm="1" vm="3">
        <f t="array" aca="1" ref="G55" ca="1">TRANSPOSE(_xlfn._xlws.FILTER($A$2:$A$2000, $C$2:$C$2000=F55))</f>
        <v>#VALUE!</v>
      </c>
      <c r="AA55" t="e" cm="1" vm="2">
        <f t="array" aca="1" ref="AA55" ca="1">_xlfn.LET(_xlpm.dates, _xlfn._xlws.FILTER(G55:Z55, G55:Z55&lt;&gt;""),_xlpm.sorted,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"&amp;F55&amp;""": ["&amp;_xlpm.result&amp;"]")</f>
        <v>#VALUE!</v>
      </c>
    </row>
    <row r="56" spans="1:27" x14ac:dyDescent="0.2">
      <c r="A56" s="3">
        <v>46123</v>
      </c>
      <c r="B56" s="2">
        <v>715.38</v>
      </c>
      <c r="C56">
        <f t="shared" si="1"/>
        <v>20</v>
      </c>
      <c r="G56" s="3" t="e" cm="1" vm="3">
        <f t="array" aca="1" ref="G56" ca="1">TRANSPOSE(_xlfn._xlws.FILTER($A$2:$A$2000, $C$2:$C$2000=F56))</f>
        <v>#VALUE!</v>
      </c>
      <c r="AA56" t="e" cm="1" vm="2">
        <f t="array" aca="1" ref="AA56" ca="1">_xlfn.LET(_xlpm.dates, _xlfn._xlws.FILTER(G56:Z56, G56:Z56&lt;&gt;""),_xlpm.sorted,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"&amp;F56&amp;""": ["&amp;_xlpm.result&amp;"]")</f>
        <v>#VALUE!</v>
      </c>
    </row>
    <row r="57" spans="1:27" x14ac:dyDescent="0.2">
      <c r="A57" s="3">
        <v>46124</v>
      </c>
      <c r="B57" s="2">
        <v>709.28</v>
      </c>
      <c r="C57">
        <f t="shared" si="1"/>
        <v>14</v>
      </c>
      <c r="G57" s="3" t="e" cm="1" vm="3">
        <f t="array" aca="1" ref="G57" ca="1">TRANSPOSE(_xlfn._xlws.FILTER($A$2:$A$2000, $C$2:$C$2000=F57))</f>
        <v>#VALUE!</v>
      </c>
      <c r="AA57" t="e" cm="1" vm="2">
        <f t="array" aca="1" ref="AA57" ca="1">_xlfn.LET(_xlpm.dates, _xlfn._xlws.FILTER(G57:Z57, G57:Z57&lt;&gt;""),_xlpm.sorted,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"&amp;F57&amp;""": ["&amp;_xlpm.result&amp;"]")</f>
        <v>#VALUE!</v>
      </c>
    </row>
    <row r="58" spans="1:27" x14ac:dyDescent="0.2">
      <c r="A58" s="3">
        <v>46125</v>
      </c>
      <c r="B58" s="2">
        <v>709.28</v>
      </c>
      <c r="C58">
        <f t="shared" si="1"/>
        <v>14</v>
      </c>
      <c r="G58" s="3" t="e" cm="1" vm="3">
        <f t="array" aca="1" ref="G58" ca="1">TRANSPOSE(_xlfn._xlws.FILTER($A$2:$A$2000, $C$2:$C$2000=F58))</f>
        <v>#VALUE!</v>
      </c>
      <c r="AA58" t="e" cm="1" vm="2">
        <f t="array" aca="1" ref="AA58" ca="1">_xlfn.LET(_xlpm.dates, _xlfn._xlws.FILTER(G58:Z58, G58:Z58&lt;&gt;""),_xlpm.sorted,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"&amp;F58&amp;""": ["&amp;_xlpm.result&amp;"]")</f>
        <v>#VALUE!</v>
      </c>
    </row>
    <row r="59" spans="1:27" x14ac:dyDescent="0.2">
      <c r="A59" s="3">
        <v>46126</v>
      </c>
      <c r="B59" s="2"/>
      <c r="C59">
        <f t="shared" si="1"/>
        <v>30</v>
      </c>
      <c r="G59" s="3" t="e" cm="1" vm="3">
        <f t="array" aca="1" ref="G59" ca="1">TRANSPOSE(_xlfn._xlws.FILTER($A$2:$A$2000, $C$2:$C$2000=F59))</f>
        <v>#VALUE!</v>
      </c>
      <c r="AA59" t="e" cm="1" vm="2">
        <f t="array" aca="1" ref="AA59" ca="1">_xlfn.LET(_xlpm.dates, _xlfn._xlws.FILTER(G59:Z59, G59:Z59&lt;&gt;""),_xlpm.sorted,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"&amp;F59&amp;""": ["&amp;_xlpm.result&amp;"]")</f>
        <v>#VALUE!</v>
      </c>
    </row>
    <row r="60" spans="1:27" x14ac:dyDescent="0.2">
      <c r="A60" s="3">
        <v>46127</v>
      </c>
      <c r="B60" s="2">
        <v>717.66</v>
      </c>
      <c r="C60">
        <f t="shared" si="1"/>
        <v>22</v>
      </c>
      <c r="G60" s="3" t="e" cm="1" vm="3">
        <f t="array" aca="1" ref="G60" ca="1">TRANSPOSE(_xlfn._xlws.FILTER($A$2:$A$2000, $C$2:$C$2000=F60))</f>
        <v>#VALUE!</v>
      </c>
      <c r="AA60" t="e" cm="1" vm="2">
        <f t="array" aca="1" ref="AA60" ca="1">_xlfn.LET(_xlpm.dates, _xlfn._xlws.FILTER(G60:Z60, G60:Z60&lt;&gt;""),_xlpm.sorted,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"&amp;F60&amp;""": ["&amp;_xlpm.result&amp;"]")</f>
        <v>#VALUE!</v>
      </c>
    </row>
    <row r="61" spans="1:27" x14ac:dyDescent="0.2">
      <c r="A61" s="3">
        <v>46128</v>
      </c>
      <c r="B61" s="2">
        <v>721.45</v>
      </c>
      <c r="C61">
        <f t="shared" si="1"/>
        <v>25</v>
      </c>
      <c r="G61" s="3" t="e" cm="1" vm="3">
        <f t="array" aca="1" ref="G61" ca="1">TRANSPOSE(_xlfn._xlws.FILTER($A$2:$A$2000, $C$2:$C$2000=F61))</f>
        <v>#VALUE!</v>
      </c>
      <c r="AA61" t="e" cm="1" vm="2">
        <f t="array" aca="1" ref="AA61" ca="1">_xlfn.LET(_xlpm.dates, _xlfn._xlws.FILTER(G61:Z61, G61:Z61&lt;&gt;""),_xlpm.sorted,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"&amp;F61&amp;""": ["&amp;_xlpm.result&amp;"]")</f>
        <v>#VALUE!</v>
      </c>
    </row>
    <row r="62" spans="1:27" x14ac:dyDescent="0.2">
      <c r="A62" s="3">
        <v>46129</v>
      </c>
      <c r="B62" s="2">
        <v>725.26</v>
      </c>
      <c r="C62">
        <f t="shared" si="1"/>
        <v>29</v>
      </c>
      <c r="G62" s="3" t="e" cm="1" vm="3">
        <f t="array" aca="1" ref="G62" ca="1">TRANSPOSE(_xlfn._xlws.FILTER($A$2:$A$2000, $C$2:$C$2000=F62))</f>
        <v>#VALUE!</v>
      </c>
      <c r="AA62" t="e" cm="1" vm="2">
        <f t="array" aca="1" ref="AA62" ca="1">_xlfn.LET(_xlpm.dates, _xlfn._xlws.FILTER(G62:Z62, G62:Z62&lt;&gt;""),_xlpm.sorted,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"&amp;F62&amp;""": ["&amp;_xlpm.result&amp;"]")</f>
        <v>#VALUE!</v>
      </c>
    </row>
    <row r="63" spans="1:27" x14ac:dyDescent="0.2">
      <c r="A63" s="3">
        <v>46130</v>
      </c>
      <c r="B63" s="2">
        <v>719.17</v>
      </c>
      <c r="C63">
        <f t="shared" si="1"/>
        <v>23</v>
      </c>
      <c r="G63" s="3" t="e" cm="1" vm="3">
        <f t="array" aca="1" ref="G63" ca="1">TRANSPOSE(_xlfn._xlws.FILTER($A$2:$A$2000, $C$2:$C$2000=F63))</f>
        <v>#VALUE!</v>
      </c>
      <c r="AA63" t="e" cm="1" vm="2">
        <f t="array" aca="1" ref="AA63" ca="1">_xlfn.LET(_xlpm.dates, _xlfn._xlws.FILTER(G63:Z63, G63:Z63&lt;&gt;""),_xlpm.sorted,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"&amp;F63&amp;""": ["&amp;_xlpm.result&amp;"]")</f>
        <v>#VALUE!</v>
      </c>
    </row>
    <row r="64" spans="1:27" x14ac:dyDescent="0.2">
      <c r="A64" s="3">
        <v>46131</v>
      </c>
      <c r="B64" s="2">
        <v>713.09</v>
      </c>
      <c r="C64">
        <f t="shared" si="1"/>
        <v>18</v>
      </c>
      <c r="G64" s="3" t="e" cm="1" vm="3">
        <f t="array" aca="1" ref="G64" ca="1">TRANSPOSE(_xlfn._xlws.FILTER($A$2:$A$2000, $C$2:$C$2000=F64))</f>
        <v>#VALUE!</v>
      </c>
      <c r="AA64" t="e" cm="1" vm="2">
        <f t="array" aca="1" ref="AA64" ca="1">_xlfn.LET(_xlpm.dates, _xlfn._xlws.FILTER(G64:Z64, G64:Z64&lt;&gt;""),_xlpm.sorted,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"&amp;F64&amp;""": ["&amp;_xlpm.result&amp;"]")</f>
        <v>#VALUE!</v>
      </c>
    </row>
    <row r="65" spans="1:27" x14ac:dyDescent="0.2">
      <c r="A65" s="3">
        <v>46132</v>
      </c>
      <c r="B65" s="2">
        <v>713.09</v>
      </c>
      <c r="C65">
        <f t="shared" si="1"/>
        <v>18</v>
      </c>
      <c r="G65" s="3" t="e" cm="1" vm="3">
        <f t="array" aca="1" ref="G65" ca="1">TRANSPOSE(_xlfn._xlws.FILTER($A$2:$A$2000, $C$2:$C$2000=F65))</f>
        <v>#VALUE!</v>
      </c>
      <c r="AA65" t="e" cm="1" vm="2">
        <f t="array" aca="1" ref="AA65" ca="1">_xlfn.LET(_xlpm.dates, _xlfn._xlws.FILTER(G65:Z65, G65:Z65&lt;&gt;""),_xlpm.sorted,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"&amp;F65&amp;""": ["&amp;_xlpm.result&amp;"]")</f>
        <v>#VALUE!</v>
      </c>
    </row>
    <row r="66" spans="1:27" x14ac:dyDescent="0.2">
      <c r="A66" s="3">
        <v>46133</v>
      </c>
      <c r="B66" s="2">
        <v>715.38</v>
      </c>
      <c r="C66">
        <f t="shared" si="1"/>
        <v>20</v>
      </c>
      <c r="G66" s="3" t="e" cm="1" vm="3">
        <f t="array" aca="1" ref="G66" ca="1">TRANSPOSE(_xlfn._xlws.FILTER($A$2:$A$2000, $C$2:$C$2000=F66))</f>
        <v>#VALUE!</v>
      </c>
      <c r="AA66" t="e" cm="1" vm="2">
        <f t="array" aca="1" ref="AA66" ca="1">_xlfn.LET(_xlpm.dates, _xlfn._xlws.FILTER(G66:Z66, G66:Z66&lt;&gt;""),_xlpm.sorted,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"&amp;F66&amp;""": ["&amp;_xlpm.result&amp;"]")</f>
        <v>#VALUE!</v>
      </c>
    </row>
    <row r="67" spans="1:27" x14ac:dyDescent="0.2">
      <c r="A67" s="3">
        <v>46134</v>
      </c>
      <c r="B67" s="2">
        <v>717.66</v>
      </c>
      <c r="C67">
        <f t="shared" si="1"/>
        <v>22</v>
      </c>
      <c r="G67" s="3" t="e" cm="1" vm="3">
        <f t="array" aca="1" ref="G67" ca="1">TRANSPOSE(_xlfn._xlws.FILTER($A$2:$A$2000, $C$2:$C$2000=F67))</f>
        <v>#VALUE!</v>
      </c>
      <c r="AA67" t="e" cm="1" vm="2">
        <f t="array" aca="1" ref="AA67" ca="1">_xlfn.LET(_xlpm.dates, _xlfn._xlws.FILTER(G67:Z67, G67:Z67&lt;&gt;""),_xlpm.sorted,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"&amp;F67&amp;""": ["&amp;_xlpm.result&amp;"]")</f>
        <v>#VALUE!</v>
      </c>
    </row>
    <row r="68" spans="1:27" x14ac:dyDescent="0.2">
      <c r="A68" s="3">
        <v>46135</v>
      </c>
      <c r="B68" s="2">
        <v>716.88</v>
      </c>
      <c r="C68">
        <f t="shared" si="1"/>
        <v>21</v>
      </c>
      <c r="G68" s="3" t="e" cm="1" vm="3">
        <f t="array" aca="1" ref="G68" ca="1">TRANSPOSE(_xlfn._xlws.FILTER($A$2:$A$2000, $C$2:$C$2000=F68))</f>
        <v>#VALUE!</v>
      </c>
      <c r="AA68" t="e" cm="1" vm="2">
        <f t="array" aca="1" ref="AA68" ca="1">_xlfn.LET(_xlpm.dates, _xlfn._xlws.FILTER(G68:Z68, G68:Z68&lt;&gt;""),_xlpm.sorted,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"&amp;F68&amp;""": ["&amp;_xlpm.result&amp;"]")</f>
        <v>#VALUE!</v>
      </c>
    </row>
    <row r="69" spans="1:27" x14ac:dyDescent="0.2">
      <c r="A69" s="3">
        <v>46136</v>
      </c>
      <c r="B69" s="2">
        <v>712.32</v>
      </c>
      <c r="C69">
        <f t="shared" si="1"/>
        <v>17</v>
      </c>
      <c r="G69" s="3" t="e" cm="1" vm="3">
        <f t="array" aca="1" ref="G69" ca="1">TRANSPOSE(_xlfn._xlws.FILTER($A$2:$A$2000, $C$2:$C$2000=F69))</f>
        <v>#VALUE!</v>
      </c>
      <c r="AA69" t="e" cm="1" vm="2">
        <f t="array" aca="1" ref="AA69" ca="1">_xlfn.LET(_xlpm.dates, _xlfn._xlws.FILTER(G69:Z69, G69:Z69&lt;&gt;""),_xlpm.sorted,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"&amp;F69&amp;""": ["&amp;_xlpm.result&amp;"]")</f>
        <v>#VALUE!</v>
      </c>
    </row>
    <row r="70" spans="1:27" x14ac:dyDescent="0.2">
      <c r="A70" s="3">
        <v>46137</v>
      </c>
      <c r="B70" s="2">
        <v>697.88</v>
      </c>
      <c r="C70">
        <f t="shared" si="1"/>
        <v>8</v>
      </c>
      <c r="G70" s="3" t="e" cm="1" vm="3">
        <f t="array" aca="1" ref="G70" ca="1">TRANSPOSE(_xlfn._xlws.FILTER($A$2:$A$2000, $C$2:$C$2000=F70))</f>
        <v>#VALUE!</v>
      </c>
      <c r="AA70" t="e" cm="1" vm="2">
        <f t="array" aca="1" ref="AA70" ca="1">_xlfn.LET(_xlpm.dates, _xlfn._xlws.FILTER(G70:Z70, G70:Z70&lt;&gt;""),_xlpm.sorted,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"&amp;F70&amp;""": ["&amp;_xlpm.result&amp;"]")</f>
        <v>#VALUE!</v>
      </c>
    </row>
    <row r="71" spans="1:27" x14ac:dyDescent="0.2">
      <c r="A71" s="3">
        <v>46138</v>
      </c>
      <c r="B71" s="1">
        <v>687.24</v>
      </c>
      <c r="C71">
        <f t="shared" si="1"/>
        <v>5</v>
      </c>
      <c r="G71" s="3" t="e" cm="1" vm="3">
        <f t="array" aca="1" ref="G71" ca="1">TRANSPOSE(_xlfn._xlws.FILTER($A$2:$A$2000, $C$2:$C$2000=F71))</f>
        <v>#VALUE!</v>
      </c>
      <c r="AA71" t="e" cm="1" vm="2">
        <f t="array" aca="1" ref="AA71" ca="1">_xlfn.LET(_xlpm.dates, _xlfn._xlws.FILTER(G71:Z71, G71:Z71&lt;&gt;""),_xlpm.sorted,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"&amp;F71&amp;""": ["&amp;_xlpm.result&amp;"]")</f>
        <v>#VALUE!</v>
      </c>
    </row>
    <row r="72" spans="1:27" x14ac:dyDescent="0.2">
      <c r="A72" s="3">
        <v>46139</v>
      </c>
      <c r="B72" s="1">
        <v>682.68</v>
      </c>
      <c r="C72">
        <f t="shared" si="1"/>
        <v>3</v>
      </c>
      <c r="G72" s="3" t="e" cm="1" vm="3">
        <f t="array" aca="1" ref="G72" ca="1">TRANSPOSE(_xlfn._xlws.FILTER($A$2:$A$2000, $C$2:$C$2000=F72))</f>
        <v>#VALUE!</v>
      </c>
      <c r="AA72" t="e" cm="1" vm="2">
        <f t="array" aca="1" ref="AA72" ca="1">_xlfn.LET(_xlpm.dates, _xlfn._xlws.FILTER(G72:Z72, G72:Z72&lt;&gt;""),_xlpm.sorted,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"&amp;F72&amp;""": ["&amp;_xlpm.result&amp;"]")</f>
        <v>#VALUE!</v>
      </c>
    </row>
    <row r="73" spans="1:27" x14ac:dyDescent="0.2">
      <c r="A73" s="3">
        <v>46140</v>
      </c>
      <c r="B73" s="1">
        <v>688.76</v>
      </c>
      <c r="C73">
        <f t="shared" si="1"/>
        <v>6</v>
      </c>
      <c r="G73" s="3" t="e" cm="1" vm="3">
        <f t="array" aca="1" ref="G73" ca="1">TRANSPOSE(_xlfn._xlws.FILTER($A$2:$A$2000, $C$2:$C$2000=F73))</f>
        <v>#VALUE!</v>
      </c>
      <c r="AA73" t="e" cm="1" vm="2">
        <f t="array" aca="1" ref="AA73" ca="1">_xlfn.LET(_xlpm.dates, _xlfn._xlws.FILTER(G73:Z73, G73:Z73&lt;&gt;""),_xlpm.sorted,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"&amp;F73&amp;""": ["&amp;_xlpm.result&amp;"]")</f>
        <v>#VALUE!</v>
      </c>
    </row>
    <row r="74" spans="1:27" x14ac:dyDescent="0.2">
      <c r="A74" s="3">
        <v>46141</v>
      </c>
      <c r="B74" s="1">
        <v>682.16</v>
      </c>
      <c r="C74">
        <f t="shared" si="1"/>
        <v>2</v>
      </c>
      <c r="G74" s="3" t="e" cm="1" vm="3">
        <f t="array" aca="1" ref="G74" ca="1">TRANSPOSE(_xlfn._xlws.FILTER($A$2:$A$2000, $C$2:$C$2000=F74))</f>
        <v>#VALUE!</v>
      </c>
      <c r="AA74" t="e" cm="1" vm="2">
        <f t="array" aca="1" ref="AA74" ca="1">_xlfn.LET(_xlpm.dates, _xlfn._xlws.FILTER(G74:Z74, G74:Z74&lt;&gt;""),_xlpm.sorted,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"&amp;F74&amp;""": ["&amp;_xlpm.result&amp;"]")</f>
        <v>#VALUE!</v>
      </c>
    </row>
    <row r="75" spans="1:27" x14ac:dyDescent="0.2">
      <c r="A75" s="3">
        <v>46142</v>
      </c>
      <c r="B75" s="1">
        <v>704.72</v>
      </c>
      <c r="C75">
        <f t="shared" si="1"/>
        <v>10</v>
      </c>
      <c r="G75" s="3" t="e" cm="1" vm="3">
        <f t="array" aca="1" ref="G75" ca="1">TRANSPOSE(_xlfn._xlws.FILTER($A$2:$A$2000, $C$2:$C$2000=F75))</f>
        <v>#VALUE!</v>
      </c>
      <c r="AA75" t="e" cm="1" vm="2">
        <f t="array" aca="1" ref="AA75" ca="1">_xlfn.LET(_xlpm.dates, _xlfn._xlws.FILTER(G75:Z75, G75:Z75&lt;&gt;""),_xlpm.sorted,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"&amp;F75&amp;""": ["&amp;_xlpm.result&amp;"]")</f>
        <v>#VALUE!</v>
      </c>
    </row>
    <row r="76" spans="1:27" x14ac:dyDescent="0.2">
      <c r="A76" s="3">
        <v>46143</v>
      </c>
      <c r="B76" s="2"/>
      <c r="C76">
        <f t="shared" si="1"/>
        <v>30</v>
      </c>
      <c r="G76" s="3" t="e" cm="1" vm="3">
        <f t="array" aca="1" ref="G76" ca="1">TRANSPOSE(_xlfn._xlws.FILTER($A$2:$A$2000, $C$2:$C$2000=F76))</f>
        <v>#VALUE!</v>
      </c>
      <c r="AA76" t="e" cm="1" vm="2">
        <f t="array" aca="1" ref="AA76" ca="1">_xlfn.LET(_xlpm.dates, _xlfn._xlws.FILTER(G76:Z76, G76:Z76&lt;&gt;""),_xlpm.sorted,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"&amp;F76&amp;""": ["&amp;_xlpm.result&amp;"]")</f>
        <v>#VALUE!</v>
      </c>
    </row>
    <row r="77" spans="1:27" x14ac:dyDescent="0.2">
      <c r="A77" s="3">
        <v>46144</v>
      </c>
      <c r="B77" s="2"/>
      <c r="C77">
        <f t="shared" si="1"/>
        <v>30</v>
      </c>
      <c r="G77" s="3" t="e" cm="1" vm="3">
        <f t="array" aca="1" ref="G77" ca="1">TRANSPOSE(_xlfn._xlws.FILTER($A$2:$A$2000, $C$2:$C$2000=F77))</f>
        <v>#VALUE!</v>
      </c>
      <c r="AA77" t="e" cm="1" vm="2">
        <f t="array" aca="1" ref="AA77" ca="1">_xlfn.LET(_xlpm.dates, _xlfn._xlws.FILTER(G77:Z77, G77:Z77&lt;&gt;""),_xlpm.sorted,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"&amp;F77&amp;""": ["&amp;_xlpm.result&amp;"]")</f>
        <v>#VALUE!</v>
      </c>
    </row>
    <row r="78" spans="1:27" x14ac:dyDescent="0.2">
      <c r="A78" s="3">
        <v>46145</v>
      </c>
      <c r="B78" s="2"/>
      <c r="C78">
        <f t="shared" si="1"/>
        <v>30</v>
      </c>
      <c r="G78" s="3" t="e" cm="1" vm="3">
        <f t="array" aca="1" ref="G78" ca="1">TRANSPOSE(_xlfn._xlws.FILTER($A$2:$A$2000, $C$2:$C$2000=F78))</f>
        <v>#VALUE!</v>
      </c>
      <c r="AA78" t="e" cm="1" vm="2">
        <f t="array" aca="1" ref="AA78" ca="1">_xlfn.LET(_xlpm.dates, _xlfn._xlws.FILTER(G78:Z78, G78:Z78&lt;&gt;""),_xlpm.sorted,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"&amp;F78&amp;""": ["&amp;_xlpm.result&amp;"]")</f>
        <v>#VALUE!</v>
      </c>
    </row>
    <row r="79" spans="1:27" x14ac:dyDescent="0.2">
      <c r="A79" s="3">
        <v>46146</v>
      </c>
      <c r="B79" s="2"/>
      <c r="C79">
        <f t="shared" si="1"/>
        <v>30</v>
      </c>
      <c r="G79" s="3" t="e" cm="1" vm="3">
        <f t="array" aca="1" ref="G79" ca="1">TRANSPOSE(_xlfn._xlws.FILTER($A$2:$A$2000, $C$2:$C$2000=F79))</f>
        <v>#VALUE!</v>
      </c>
      <c r="AA79" t="e" cm="1" vm="2">
        <f t="array" aca="1" ref="AA79" ca="1">_xlfn.LET(_xlpm.dates, _xlfn._xlws.FILTER(G79:Z79, G79:Z79&lt;&gt;""),_xlpm.sorted,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"&amp;F79&amp;""": ["&amp;_xlpm.result&amp;"]")</f>
        <v>#VALUE!</v>
      </c>
    </row>
    <row r="80" spans="1:27" x14ac:dyDescent="0.2">
      <c r="A80" s="3">
        <v>46147</v>
      </c>
      <c r="B80" s="2"/>
      <c r="C80">
        <f t="shared" si="1"/>
        <v>30</v>
      </c>
      <c r="G80" s="3" t="e" cm="1" vm="3">
        <f t="array" aca="1" ref="G80" ca="1">TRANSPOSE(_xlfn._xlws.FILTER($A$2:$A$2000, $C$2:$C$2000=F80))</f>
        <v>#VALUE!</v>
      </c>
      <c r="AA80" t="e" cm="1" vm="2">
        <f t="array" aca="1" ref="AA80" ca="1">_xlfn.LET(_xlpm.dates, _xlfn._xlws.FILTER(G80:Z80, G80:Z80&lt;&gt;""),_xlpm.sorted,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"&amp;F80&amp;""": ["&amp;_xlpm.result&amp;"]")</f>
        <v>#VALUE!</v>
      </c>
    </row>
    <row r="81" spans="1:27" x14ac:dyDescent="0.2">
      <c r="A81" s="3">
        <v>46148</v>
      </c>
      <c r="B81" s="2"/>
      <c r="C81">
        <f t="shared" si="1"/>
        <v>30</v>
      </c>
      <c r="G81" s="3" t="e" cm="1" vm="3">
        <f t="array" aca="1" ref="G81" ca="1">TRANSPOSE(_xlfn._xlws.FILTER($A$2:$A$2000, $C$2:$C$2000=F81))</f>
        <v>#VALUE!</v>
      </c>
      <c r="AA81" t="e" cm="1" vm="2">
        <f t="array" aca="1" ref="AA81" ca="1">_xlfn.LET(_xlpm.dates, _xlfn._xlws.FILTER(G81:Z81, G81:Z81&lt;&gt;""),_xlpm.sorted,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"&amp;F81&amp;""": ["&amp;_xlpm.result&amp;"]")</f>
        <v>#VALUE!</v>
      </c>
    </row>
    <row r="82" spans="1:27" x14ac:dyDescent="0.2">
      <c r="A82" s="3">
        <v>46149</v>
      </c>
      <c r="B82" s="2"/>
      <c r="C82">
        <f t="shared" si="1"/>
        <v>30</v>
      </c>
      <c r="G82" s="3" t="e" cm="1" vm="3">
        <f t="array" aca="1" ref="G82" ca="1">TRANSPOSE(_xlfn._xlws.FILTER($A$2:$A$2000, $C$2:$C$2000=F82))</f>
        <v>#VALUE!</v>
      </c>
      <c r="AA82" t="e" cm="1" vm="2">
        <f t="array" aca="1" ref="AA82" ca="1">_xlfn.LET(_xlpm.dates, _xlfn._xlws.FILTER(G82:Z82, G82:Z82&lt;&gt;""),_xlpm.sorted,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"&amp;F82&amp;""": ["&amp;_xlpm.result&amp;"]")</f>
        <v>#VALUE!</v>
      </c>
    </row>
    <row r="83" spans="1:27" x14ac:dyDescent="0.2">
      <c r="A83" s="3">
        <v>46150</v>
      </c>
      <c r="B83" s="2"/>
      <c r="C83">
        <f t="shared" si="1"/>
        <v>30</v>
      </c>
      <c r="G83" s="3" t="e" cm="1" vm="3">
        <f t="array" aca="1" ref="G83" ca="1">TRANSPOSE(_xlfn._xlws.FILTER($A$2:$A$2000, $C$2:$C$2000=F83))</f>
        <v>#VALUE!</v>
      </c>
      <c r="AA83" t="e" cm="1" vm="2">
        <f t="array" aca="1" ref="AA83" ca="1">_xlfn.LET(_xlpm.dates, _xlfn._xlws.FILTER(G83:Z83, G83:Z83&lt;&gt;""),_xlpm.sorted,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"&amp;F83&amp;""": ["&amp;_xlpm.result&amp;"]")</f>
        <v>#VALUE!</v>
      </c>
    </row>
    <row r="84" spans="1:27" x14ac:dyDescent="0.2">
      <c r="A84" s="3">
        <v>46151</v>
      </c>
      <c r="B84" s="2"/>
      <c r="C84">
        <f t="shared" si="1"/>
        <v>30</v>
      </c>
      <c r="G84" s="3" t="e" cm="1" vm="3">
        <f t="array" aca="1" ref="G84" ca="1">TRANSPOSE(_xlfn._xlws.FILTER($A$2:$A$2000, $C$2:$C$2000=F84))</f>
        <v>#VALUE!</v>
      </c>
      <c r="AA84" t="e" cm="1" vm="2">
        <f t="array" aca="1" ref="AA84" ca="1">_xlfn.LET(_xlpm.dates, _xlfn._xlws.FILTER(G84:Z84, G84:Z84&lt;&gt;""),_xlpm.sorted,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"&amp;F84&amp;""": ["&amp;_xlpm.result&amp;"]")</f>
        <v>#VALUE!</v>
      </c>
    </row>
    <row r="85" spans="1:27" x14ac:dyDescent="0.2">
      <c r="A85" s="3">
        <v>46152</v>
      </c>
      <c r="B85" s="2"/>
      <c r="C85">
        <f t="shared" si="1"/>
        <v>30</v>
      </c>
      <c r="G85" s="3" t="e" cm="1" vm="3">
        <f t="array" aca="1" ref="G85" ca="1">TRANSPOSE(_xlfn._xlws.FILTER($A$2:$A$2000, $C$2:$C$2000=F85))</f>
        <v>#VALUE!</v>
      </c>
      <c r="AA85" t="e" cm="1" vm="2">
        <f t="array" aca="1" ref="AA85" ca="1">_xlfn.LET(_xlpm.dates, _xlfn._xlws.FILTER(G85:Z85, G85:Z85&lt;&gt;""),_xlpm.sorted,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"&amp;F85&amp;""": ["&amp;_xlpm.result&amp;"]")</f>
        <v>#VALUE!</v>
      </c>
    </row>
    <row r="86" spans="1:27" x14ac:dyDescent="0.2">
      <c r="A86" s="3">
        <v>46153</v>
      </c>
      <c r="B86" s="2"/>
      <c r="C86">
        <f t="shared" si="1"/>
        <v>30</v>
      </c>
      <c r="G86" s="3" t="e" cm="1" vm="3">
        <f t="array" aca="1" ref="G86" ca="1">TRANSPOSE(_xlfn._xlws.FILTER($A$2:$A$2000, $C$2:$C$2000=F86))</f>
        <v>#VALUE!</v>
      </c>
      <c r="AA86" t="e" cm="1" vm="2">
        <f t="array" aca="1" ref="AA86" ca="1">_xlfn.LET(_xlpm.dates, _xlfn._xlws.FILTER(G86:Z86, G86:Z86&lt;&gt;""),_xlpm.sorted,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"&amp;F86&amp;""": ["&amp;_xlpm.result&amp;"]")</f>
        <v>#VALUE!</v>
      </c>
    </row>
    <row r="87" spans="1:27" x14ac:dyDescent="0.2">
      <c r="A87" s="3">
        <v>46154</v>
      </c>
      <c r="B87" s="2"/>
      <c r="C87">
        <f t="shared" si="1"/>
        <v>30</v>
      </c>
      <c r="G87" s="3" t="e" cm="1" vm="3">
        <f t="array" aca="1" ref="G87" ca="1">TRANSPOSE(_xlfn._xlws.FILTER($A$2:$A$2000, $C$2:$C$2000=F87))</f>
        <v>#VALUE!</v>
      </c>
      <c r="AA87" t="e" cm="1" vm="2">
        <f t="array" aca="1" ref="AA87" ca="1">_xlfn.LET(_xlpm.dates, _xlfn._xlws.FILTER(G87:Z87, G87:Z87&lt;&gt;""),_xlpm.sorted,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"&amp;F87&amp;""": ["&amp;_xlpm.result&amp;"]")</f>
        <v>#VALUE!</v>
      </c>
    </row>
    <row r="88" spans="1:27" x14ac:dyDescent="0.2">
      <c r="A88" s="3">
        <v>46155</v>
      </c>
      <c r="B88" s="2"/>
      <c r="C88">
        <f t="shared" si="1"/>
        <v>30</v>
      </c>
      <c r="G88" s="3" t="e" cm="1" vm="3">
        <f t="array" aca="1" ref="G88" ca="1">TRANSPOSE(_xlfn._xlws.FILTER($A$2:$A$2000, $C$2:$C$2000=F88))</f>
        <v>#VALUE!</v>
      </c>
      <c r="AA88" t="e" cm="1" vm="2">
        <f t="array" aca="1" ref="AA88" ca="1">_xlfn.LET(_xlpm.dates, _xlfn._xlws.FILTER(G88:Z88, G88:Z88&lt;&gt;""),_xlpm.sorted,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"&amp;F88&amp;""": ["&amp;_xlpm.result&amp;"]")</f>
        <v>#VALUE!</v>
      </c>
    </row>
    <row r="89" spans="1:27" x14ac:dyDescent="0.2">
      <c r="A89" s="3">
        <v>46156</v>
      </c>
      <c r="B89" s="2"/>
      <c r="C89">
        <f t="shared" si="1"/>
        <v>30</v>
      </c>
      <c r="G89" s="3" t="e" cm="1" vm="3">
        <f t="array" aca="1" ref="G89" ca="1">TRANSPOSE(_xlfn._xlws.FILTER($A$2:$A$2000, $C$2:$C$2000=F89))</f>
        <v>#VALUE!</v>
      </c>
      <c r="AA89" t="e" cm="1" vm="2">
        <f t="array" aca="1" ref="AA89" ca="1">_xlfn.LET(_xlpm.dates, _xlfn._xlws.FILTER(G89:Z89, G89:Z89&lt;&gt;""),_xlpm.sorted,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"&amp;F89&amp;""": ["&amp;_xlpm.result&amp;"]")</f>
        <v>#VALUE!</v>
      </c>
    </row>
    <row r="90" spans="1:27" x14ac:dyDescent="0.2">
      <c r="A90" s="3">
        <v>46157</v>
      </c>
      <c r="B90" s="2"/>
      <c r="C90">
        <f t="shared" si="1"/>
        <v>30</v>
      </c>
      <c r="G90" s="3" t="e" cm="1" vm="3">
        <f t="array" aca="1" ref="G90" ca="1">TRANSPOSE(_xlfn._xlws.FILTER($A$2:$A$2000, $C$2:$C$2000=F90))</f>
        <v>#VALUE!</v>
      </c>
      <c r="AA90" t="e" cm="1" vm="2">
        <f t="array" aca="1" ref="AA90" ca="1">_xlfn.LET(_xlpm.dates, _xlfn._xlws.FILTER(G90:Z90, G90:Z90&lt;&gt;""),_xlpm.sorted,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"&amp;F90&amp;""": ["&amp;_xlpm.result&amp;"]")</f>
        <v>#VALUE!</v>
      </c>
    </row>
    <row r="91" spans="1:27" x14ac:dyDescent="0.2">
      <c r="A91" s="3">
        <v>46158</v>
      </c>
      <c r="B91" s="2"/>
      <c r="C91">
        <f t="shared" si="1"/>
        <v>30</v>
      </c>
      <c r="G91" s="3" t="e" cm="1" vm="3">
        <f t="array" aca="1" ref="G91" ca="1">TRANSPOSE(_xlfn._xlws.FILTER($A$2:$A$2000, $C$2:$C$2000=F91))</f>
        <v>#VALUE!</v>
      </c>
      <c r="AA91" t="e" cm="1" vm="2">
        <f t="array" aca="1" ref="AA91" ca="1">_xlfn.LET(_xlpm.dates, _xlfn._xlws.FILTER(G91:Z91, G91:Z91&lt;&gt;""),_xlpm.sorted,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"&amp;F91&amp;""": ["&amp;_xlpm.result&amp;"]")</f>
        <v>#VALUE!</v>
      </c>
    </row>
    <row r="92" spans="1:27" x14ac:dyDescent="0.2">
      <c r="A92" s="3">
        <v>46159</v>
      </c>
      <c r="B92" s="2"/>
      <c r="C92">
        <f t="shared" si="1"/>
        <v>30</v>
      </c>
      <c r="G92" s="3" t="e" cm="1" vm="3">
        <f t="array" aca="1" ref="G92" ca="1">TRANSPOSE(_xlfn._xlws.FILTER($A$2:$A$2000, $C$2:$C$2000=F92))</f>
        <v>#VALUE!</v>
      </c>
      <c r="AA92" t="e" cm="1" vm="2">
        <f t="array" aca="1" ref="AA92" ca="1">_xlfn.LET(_xlpm.dates, _xlfn._xlws.FILTER(G92:Z92, G92:Z92&lt;&gt;""),_xlpm.sorted,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"&amp;F92&amp;""": ["&amp;_xlpm.result&amp;"]")</f>
        <v>#VALUE!</v>
      </c>
    </row>
    <row r="93" spans="1:27" x14ac:dyDescent="0.2">
      <c r="A93" s="3">
        <v>46160</v>
      </c>
      <c r="B93" s="2"/>
      <c r="C93">
        <f t="shared" si="1"/>
        <v>30</v>
      </c>
      <c r="G93" s="3" t="e" cm="1" vm="3">
        <f t="array" aca="1" ref="G93" ca="1">TRANSPOSE(_xlfn._xlws.FILTER($A$2:$A$2000, $C$2:$C$2000=F93))</f>
        <v>#VALUE!</v>
      </c>
      <c r="AA93" t="e" cm="1" vm="2">
        <f t="array" aca="1" ref="AA93" ca="1">_xlfn.LET(_xlpm.dates, _xlfn._xlws.FILTER(G93:Z93, G93:Z93&lt;&gt;""),_xlpm.sorted,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"&amp;F93&amp;""": ["&amp;_xlpm.result&amp;"]")</f>
        <v>#VALUE!</v>
      </c>
    </row>
    <row r="94" spans="1:27" x14ac:dyDescent="0.2">
      <c r="A94" s="3">
        <v>46161</v>
      </c>
      <c r="B94" s="2"/>
      <c r="C94">
        <f t="shared" si="1"/>
        <v>30</v>
      </c>
      <c r="G94" s="3" t="e" cm="1" vm="3">
        <f t="array" aca="1" ref="G94" ca="1">TRANSPOSE(_xlfn._xlws.FILTER($A$2:$A$2000, $C$2:$C$2000=F94))</f>
        <v>#VALUE!</v>
      </c>
      <c r="AA94" t="e" cm="1" vm="2">
        <f t="array" aca="1" ref="AA94" ca="1">_xlfn.LET(_xlpm.dates, _xlfn._xlws.FILTER(G94:Z94, G94:Z94&lt;&gt;""),_xlpm.sorted,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"&amp;F94&amp;""": ["&amp;_xlpm.result&amp;"]")</f>
        <v>#VALUE!</v>
      </c>
    </row>
    <row r="95" spans="1:27" x14ac:dyDescent="0.2">
      <c r="A95" s="3">
        <v>46162</v>
      </c>
      <c r="B95" s="2"/>
      <c r="C95">
        <f t="shared" si="1"/>
        <v>30</v>
      </c>
      <c r="G95" s="3" t="e" cm="1" vm="3">
        <f t="array" aca="1" ref="G95" ca="1">TRANSPOSE(_xlfn._xlws.FILTER($A$2:$A$2000, $C$2:$C$2000=F95))</f>
        <v>#VALUE!</v>
      </c>
      <c r="AA95" t="e" cm="1" vm="2">
        <f t="array" aca="1" ref="AA95" ca="1">_xlfn.LET(_xlpm.dates, _xlfn._xlws.FILTER(G95:Z95, G95:Z95&lt;&gt;""),_xlpm.sorted,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"&amp;F95&amp;""": ["&amp;_xlpm.result&amp;"]")</f>
        <v>#VALUE!</v>
      </c>
    </row>
    <row r="96" spans="1:27" x14ac:dyDescent="0.2">
      <c r="A96" s="3">
        <v>46163</v>
      </c>
      <c r="B96" s="2"/>
      <c r="C96">
        <f t="shared" ref="C96:C159" si="2">MATCH(B96, $D$1:$D$195, 0)-1</f>
        <v>30</v>
      </c>
      <c r="G96" s="3" t="e" cm="1" vm="3">
        <f t="array" aca="1" ref="G96" ca="1">TRANSPOSE(_xlfn._xlws.FILTER($A$2:$A$2000, $C$2:$C$2000=F96))</f>
        <v>#VALUE!</v>
      </c>
      <c r="AA96" t="e" cm="1" vm="2">
        <f t="array" aca="1" ref="AA96" ca="1">_xlfn.LET(_xlpm.dates, _xlfn._xlws.FILTER(G96:Z96, G96:Z96&lt;&gt;""),_xlpm.sorted,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"&amp;F96&amp;""": ["&amp;_xlpm.result&amp;"]")</f>
        <v>#VALUE!</v>
      </c>
    </row>
    <row r="97" spans="1:27" x14ac:dyDescent="0.2">
      <c r="A97" s="3">
        <v>46164</v>
      </c>
      <c r="B97" s="2"/>
      <c r="C97">
        <f t="shared" si="2"/>
        <v>30</v>
      </c>
      <c r="G97" s="3" t="e" cm="1" vm="3">
        <f t="array" aca="1" ref="G97" ca="1">TRANSPOSE(_xlfn._xlws.FILTER($A$2:$A$2000, $C$2:$C$2000=F97))</f>
        <v>#VALUE!</v>
      </c>
      <c r="AA97" t="e" cm="1" vm="2">
        <f t="array" aca="1" ref="AA97" ca="1">_xlfn.LET(_xlpm.dates, _xlfn._xlws.FILTER(G97:Z97, G97:Z97&lt;&gt;""),_xlpm.sorted,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"&amp;F97&amp;""": ["&amp;_xlpm.result&amp;"]")</f>
        <v>#VALUE!</v>
      </c>
    </row>
    <row r="98" spans="1:27" x14ac:dyDescent="0.2">
      <c r="A98" s="3">
        <v>46165</v>
      </c>
      <c r="B98" s="2"/>
      <c r="C98">
        <f t="shared" si="2"/>
        <v>30</v>
      </c>
      <c r="G98" s="3" t="e" cm="1" vm="3">
        <f t="array" aca="1" ref="G98" ca="1">TRANSPOSE(_xlfn._xlws.FILTER($A$2:$A$2000, $C$2:$C$2000=F98))</f>
        <v>#VALUE!</v>
      </c>
      <c r="AA98" t="e" cm="1" vm="2">
        <f t="array" aca="1" ref="AA98" ca="1">_xlfn.LET(_xlpm.dates, _xlfn._xlws.FILTER(G98:Z98, G98:Z98&lt;&gt;""),_xlpm.sorted,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"&amp;F98&amp;""": ["&amp;_xlpm.result&amp;"]")</f>
        <v>#VALUE!</v>
      </c>
    </row>
    <row r="99" spans="1:27" x14ac:dyDescent="0.2">
      <c r="A99" s="3">
        <v>46166</v>
      </c>
      <c r="B99" s="2"/>
      <c r="C99">
        <f t="shared" si="2"/>
        <v>30</v>
      </c>
      <c r="G99" s="3" t="e" cm="1" vm="3">
        <f t="array" aca="1" ref="G99" ca="1">TRANSPOSE(_xlfn._xlws.FILTER($A$2:$A$2000, $C$2:$C$2000=F99))</f>
        <v>#VALUE!</v>
      </c>
      <c r="AA99" t="e" cm="1" vm="2">
        <f t="array" aca="1" ref="AA99" ca="1">_xlfn.LET(_xlpm.dates, _xlfn._xlws.FILTER(G99:Z99, G99:Z99&lt;&gt;""),_xlpm.sorted,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"&amp;F99&amp;""": ["&amp;_xlpm.result&amp;"]")</f>
        <v>#VALUE!</v>
      </c>
    </row>
    <row r="100" spans="1:27" x14ac:dyDescent="0.2">
      <c r="A100" s="3">
        <v>46167</v>
      </c>
      <c r="B100" s="2"/>
      <c r="C100">
        <f t="shared" si="2"/>
        <v>30</v>
      </c>
      <c r="G100" s="3" t="e" cm="1" vm="3">
        <f t="array" aca="1" ref="G100" ca="1">TRANSPOSE(_xlfn._xlws.FILTER($A$2:$A$2000, $C$2:$C$2000=F100))</f>
        <v>#VALUE!</v>
      </c>
      <c r="AA100" t="e" cm="1" vm="2">
        <f t="array" aca="1" ref="AA100" ca="1">_xlfn.LET(_xlpm.dates, _xlfn._xlws.FILTER(G100:Z100, G100:Z100&lt;&gt;""),_xlpm.sorted,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"&amp;F100&amp;""": ["&amp;_xlpm.result&amp;"]")</f>
        <v>#VALUE!</v>
      </c>
    </row>
    <row r="101" spans="1:27" x14ac:dyDescent="0.2">
      <c r="A101" s="3">
        <v>46168</v>
      </c>
      <c r="B101" s="2"/>
      <c r="C101">
        <f t="shared" si="2"/>
        <v>30</v>
      </c>
      <c r="G101" s="3" t="e" cm="1" vm="3">
        <f t="array" aca="1" ref="G101" ca="1">TRANSPOSE(_xlfn._xlws.FILTER($A$2:$A$2000, $C$2:$C$2000=F101))</f>
        <v>#VALUE!</v>
      </c>
      <c r="AA101" t="e" cm="1" vm="2">
        <f t="array" aca="1" ref="AA101" ca="1">_xlfn.LET(_xlpm.dates, _xlfn._xlws.FILTER(G101:Z101, G101:Z101&lt;&gt;""),_xlpm.sorted,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"&amp;F101&amp;""": ["&amp;_xlpm.result&amp;"]")</f>
        <v>#VALUE!</v>
      </c>
    </row>
    <row r="102" spans="1:27" x14ac:dyDescent="0.2">
      <c r="A102" s="3">
        <v>46169</v>
      </c>
      <c r="B102" s="2"/>
      <c r="C102">
        <f t="shared" si="2"/>
        <v>30</v>
      </c>
      <c r="G102" s="3" t="e" cm="1" vm="3">
        <f t="array" aca="1" ref="G102" ca="1">TRANSPOSE(_xlfn._xlws.FILTER($A$2:$A$2000, $C$2:$C$2000=F102))</f>
        <v>#VALUE!</v>
      </c>
      <c r="AA102" t="e" cm="1" vm="2">
        <f t="array" aca="1" ref="AA102" ca="1">_xlfn.LET(_xlpm.dates, _xlfn._xlws.FILTER(G102:Z102, G102:Z102&lt;&gt;""),_xlpm.sorted,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"&amp;F102&amp;""": ["&amp;_xlpm.result&amp;"]")</f>
        <v>#VALUE!</v>
      </c>
    </row>
    <row r="103" spans="1:27" x14ac:dyDescent="0.2">
      <c r="A103" s="3">
        <v>46170</v>
      </c>
      <c r="B103" s="2"/>
      <c r="C103">
        <f t="shared" si="2"/>
        <v>30</v>
      </c>
      <c r="G103" s="3" t="e" cm="1" vm="3">
        <f t="array" aca="1" ref="G103" ca="1">TRANSPOSE(_xlfn._xlws.FILTER($A$2:$A$2000, $C$2:$C$2000=F103))</f>
        <v>#VALUE!</v>
      </c>
      <c r="AA103" t="e" cm="1" vm="2">
        <f t="array" aca="1" ref="AA103" ca="1">_xlfn.LET(_xlpm.dates, _xlfn._xlws.FILTER(G103:Z103, G103:Z103&lt;&gt;""),_xlpm.sorted,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"&amp;F103&amp;""": ["&amp;_xlpm.result&amp;"]")</f>
        <v>#VALUE!</v>
      </c>
    </row>
    <row r="104" spans="1:27" x14ac:dyDescent="0.2">
      <c r="A104" s="3">
        <v>46171</v>
      </c>
      <c r="B104" s="2"/>
      <c r="C104">
        <f t="shared" si="2"/>
        <v>30</v>
      </c>
      <c r="G104" s="3" t="e" cm="1" vm="3">
        <f t="array" aca="1" ref="G104" ca="1">TRANSPOSE(_xlfn._xlws.FILTER($A$2:$A$2000, $C$2:$C$2000=F104))</f>
        <v>#VALUE!</v>
      </c>
      <c r="AA104" t="e" cm="1" vm="2">
        <f t="array" aca="1" ref="AA104" ca="1">_xlfn.LET(_xlpm.dates, _xlfn._xlws.FILTER(G104:Z104, G104:Z104&lt;&gt;""),_xlpm.sorted,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"&amp;F104&amp;""": ["&amp;_xlpm.result&amp;"]")</f>
        <v>#VALUE!</v>
      </c>
    </row>
    <row r="105" spans="1:27" x14ac:dyDescent="0.2">
      <c r="A105" s="3">
        <v>46172</v>
      </c>
      <c r="B105" s="2"/>
      <c r="C105">
        <f t="shared" si="2"/>
        <v>30</v>
      </c>
      <c r="G105" s="3" t="e" cm="1" vm="3">
        <f t="array" aca="1" ref="G105" ca="1">TRANSPOSE(_xlfn._xlws.FILTER($A$2:$A$2000, $C$2:$C$2000=F105))</f>
        <v>#VALUE!</v>
      </c>
      <c r="AA105" t="e" cm="1" vm="2">
        <f t="array" aca="1" ref="AA105" ca="1">_xlfn.LET(_xlpm.dates, _xlfn._xlws.FILTER(G105:Z105, G105:Z105&lt;&gt;""),_xlpm.sorted,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"&amp;F105&amp;""": ["&amp;_xlpm.result&amp;"]")</f>
        <v>#VALUE!</v>
      </c>
    </row>
    <row r="106" spans="1:27" x14ac:dyDescent="0.2">
      <c r="A106" s="3">
        <v>46173</v>
      </c>
      <c r="B106" s="1"/>
      <c r="C106">
        <f t="shared" si="2"/>
        <v>30</v>
      </c>
      <c r="G106" s="3" t="e" cm="1" vm="3">
        <f t="array" aca="1" ref="G106" ca="1">TRANSPOSE(_xlfn._xlws.FILTER($A$2:$A$2000, $C$2:$C$2000=F106))</f>
        <v>#VALUE!</v>
      </c>
      <c r="AA106" t="e" cm="1" vm="2">
        <f t="array" aca="1" ref="AA106" ca="1">_xlfn.LET(_xlpm.dates, _xlfn._xlws.FILTER(G106:Z106, G106:Z106&lt;&gt;""),_xlpm.sorted,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"&amp;F106&amp;""": ["&amp;_xlpm.result&amp;"]")</f>
        <v>#VALUE!</v>
      </c>
    </row>
    <row r="107" spans="1:27" x14ac:dyDescent="0.2">
      <c r="A107" s="3">
        <v>46174</v>
      </c>
      <c r="B107" s="2"/>
      <c r="C107">
        <f t="shared" si="2"/>
        <v>30</v>
      </c>
      <c r="G107" s="3" t="e" cm="1" vm="3">
        <f t="array" aca="1" ref="G107" ca="1">TRANSPOSE(_xlfn._xlws.FILTER($A$2:$A$2000, $C$2:$C$2000=F107))</f>
        <v>#VALUE!</v>
      </c>
      <c r="AA107" t="e" cm="1" vm="2">
        <f t="array" aca="1" ref="AA107" ca="1">_xlfn.LET(_xlpm.dates, _xlfn._xlws.FILTER(G107:Z107, G107:Z107&lt;&gt;""),_xlpm.sorted,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"&amp;F107&amp;""": ["&amp;_xlpm.result&amp;"]")</f>
        <v>#VALUE!</v>
      </c>
    </row>
    <row r="108" spans="1:27" x14ac:dyDescent="0.2">
      <c r="A108" s="3">
        <v>46175</v>
      </c>
      <c r="B108" s="2"/>
      <c r="C108">
        <f t="shared" si="2"/>
        <v>30</v>
      </c>
      <c r="G108" s="3" t="e" cm="1" vm="3">
        <f t="array" aca="1" ref="G108" ca="1">TRANSPOSE(_xlfn._xlws.FILTER($A$2:$A$2000, $C$2:$C$2000=F108))</f>
        <v>#VALUE!</v>
      </c>
      <c r="AA108" t="e" cm="1" vm="2">
        <f t="array" aca="1" ref="AA108" ca="1">_xlfn.LET(_xlpm.dates, _xlfn._xlws.FILTER(G108:Z108, G108:Z108&lt;&gt;""),_xlpm.sorted,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"&amp;F108&amp;""": ["&amp;_xlpm.result&amp;"]")</f>
        <v>#VALUE!</v>
      </c>
    </row>
    <row r="109" spans="1:27" x14ac:dyDescent="0.2">
      <c r="A109" s="3">
        <v>46176</v>
      </c>
      <c r="B109" s="2"/>
      <c r="C109">
        <f t="shared" si="2"/>
        <v>30</v>
      </c>
      <c r="G109" s="3" t="e" cm="1" vm="3">
        <f t="array" aca="1" ref="G109" ca="1">TRANSPOSE(_xlfn._xlws.FILTER($A$2:$A$2000, $C$2:$C$2000=F109))</f>
        <v>#VALUE!</v>
      </c>
      <c r="AA109" t="e" cm="1" vm="2">
        <f t="array" aca="1" ref="AA109" ca="1">_xlfn.LET(_xlpm.dates, _xlfn._xlws.FILTER(G109:Z109, G109:Z109&lt;&gt;""),_xlpm.sorted,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"&amp;F109&amp;""": ["&amp;_xlpm.result&amp;"]")</f>
        <v>#VALUE!</v>
      </c>
    </row>
    <row r="110" spans="1:27" x14ac:dyDescent="0.2">
      <c r="A110" s="3">
        <v>46177</v>
      </c>
      <c r="B110" s="2"/>
      <c r="C110">
        <f t="shared" si="2"/>
        <v>30</v>
      </c>
      <c r="G110" s="3" t="e" cm="1" vm="3">
        <f t="array" aca="1" ref="G110" ca="1">TRANSPOSE(_xlfn._xlws.FILTER($A$2:$A$2000, $C$2:$C$2000=F110))</f>
        <v>#VALUE!</v>
      </c>
      <c r="AA110" t="e" cm="1" vm="2">
        <f t="array" aca="1" ref="AA110" ca="1">_xlfn.LET(_xlpm.dates, _xlfn._xlws.FILTER(G110:Z110, G110:Z110&lt;&gt;""),_xlpm.sorted,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"&amp;F110&amp;""": ["&amp;_xlpm.result&amp;"]")</f>
        <v>#VALUE!</v>
      </c>
    </row>
    <row r="111" spans="1:27" x14ac:dyDescent="0.2">
      <c r="A111" s="3">
        <v>46178</v>
      </c>
      <c r="B111" s="2"/>
      <c r="C111">
        <f t="shared" si="2"/>
        <v>30</v>
      </c>
      <c r="G111" s="3" t="e" cm="1" vm="3">
        <f t="array" aca="1" ref="G111" ca="1">TRANSPOSE(_xlfn._xlws.FILTER($A$2:$A$2000, $C$2:$C$2000=F111))</f>
        <v>#VALUE!</v>
      </c>
      <c r="AA111" t="e" cm="1" vm="2">
        <f t="array" aca="1" ref="AA111" ca="1">_xlfn.LET(_xlpm.dates, _xlfn._xlws.FILTER(G111:Z111, G111:Z111&lt;&gt;""),_xlpm.sorted,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"&amp;F111&amp;""": ["&amp;_xlpm.result&amp;"]")</f>
        <v>#VALUE!</v>
      </c>
    </row>
    <row r="112" spans="1:27" x14ac:dyDescent="0.2">
      <c r="A112" s="3">
        <v>46179</v>
      </c>
      <c r="B112" s="2"/>
      <c r="C112">
        <f t="shared" si="2"/>
        <v>30</v>
      </c>
      <c r="G112" s="3" t="e" cm="1" vm="3">
        <f t="array" aca="1" ref="G112" ca="1">TRANSPOSE(_xlfn._xlws.FILTER($A$2:$A$2000, $C$2:$C$2000=F112))</f>
        <v>#VALUE!</v>
      </c>
      <c r="AA112" t="e" cm="1" vm="2">
        <f t="array" aca="1" ref="AA112" ca="1">_xlfn.LET(_xlpm.dates, _xlfn._xlws.FILTER(G112:Z112, G112:Z112&lt;&gt;""),_xlpm.sorted,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"&amp;F112&amp;""": ["&amp;_xlpm.result&amp;"]")</f>
        <v>#VALUE!</v>
      </c>
    </row>
    <row r="113" spans="1:27" x14ac:dyDescent="0.2">
      <c r="A113" s="3">
        <v>46180</v>
      </c>
      <c r="B113" s="2"/>
      <c r="C113">
        <f t="shared" si="2"/>
        <v>30</v>
      </c>
      <c r="G113" s="3" t="e" cm="1" vm="3">
        <f t="array" aca="1" ref="G113" ca="1">TRANSPOSE(_xlfn._xlws.FILTER($A$2:$A$2000, $C$2:$C$2000=F113))</f>
        <v>#VALUE!</v>
      </c>
      <c r="AA113" t="e" cm="1" vm="2">
        <f t="array" aca="1" ref="AA113" ca="1">_xlfn.LET(_xlpm.dates, _xlfn._xlws.FILTER(G113:Z113, G113:Z113&lt;&gt;""),_xlpm.sorted,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"&amp;F113&amp;""": ["&amp;_xlpm.result&amp;"]")</f>
        <v>#VALUE!</v>
      </c>
    </row>
    <row r="114" spans="1:27" x14ac:dyDescent="0.2">
      <c r="A114" s="3">
        <v>46181</v>
      </c>
      <c r="B114" s="2"/>
      <c r="C114">
        <f t="shared" si="2"/>
        <v>30</v>
      </c>
      <c r="G114" s="3" t="e" cm="1" vm="3">
        <f t="array" aca="1" ref="G114" ca="1">TRANSPOSE(_xlfn._xlws.FILTER($A$2:$A$2000, $C$2:$C$2000=F114))</f>
        <v>#VALUE!</v>
      </c>
      <c r="AA114" t="e" cm="1" vm="2">
        <f t="array" aca="1" ref="AA114" ca="1">_xlfn.LET(_xlpm.dates, _xlfn._xlws.FILTER(G114:Z114, G114:Z114&lt;&gt;""),_xlpm.sorted,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"&amp;F114&amp;""": ["&amp;_xlpm.result&amp;"]")</f>
        <v>#VALUE!</v>
      </c>
    </row>
    <row r="115" spans="1:27" x14ac:dyDescent="0.2">
      <c r="A115" s="3">
        <v>46182</v>
      </c>
      <c r="B115" s="2"/>
      <c r="C115">
        <f t="shared" si="2"/>
        <v>30</v>
      </c>
      <c r="G115" s="3" t="e" cm="1" vm="3">
        <f t="array" aca="1" ref="G115" ca="1">TRANSPOSE(_xlfn._xlws.FILTER($A$2:$A$2000, $C$2:$C$2000=F115))</f>
        <v>#VALUE!</v>
      </c>
      <c r="AA115" t="e" cm="1" vm="2">
        <f t="array" aca="1" ref="AA115" ca="1">_xlfn.LET(_xlpm.dates, _xlfn._xlws.FILTER(G115:Z115, G115:Z115&lt;&gt;""),_xlpm.sorted,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"&amp;F115&amp;""": ["&amp;_xlpm.result&amp;"]")</f>
        <v>#VALUE!</v>
      </c>
    </row>
    <row r="116" spans="1:27" x14ac:dyDescent="0.2">
      <c r="A116" s="3">
        <v>46183</v>
      </c>
      <c r="B116" s="2"/>
      <c r="C116">
        <f t="shared" si="2"/>
        <v>30</v>
      </c>
      <c r="G116" s="3" t="e" cm="1" vm="3">
        <f t="array" aca="1" ref="G116" ca="1">TRANSPOSE(_xlfn._xlws.FILTER($A$2:$A$2000, $C$2:$C$2000=F116))</f>
        <v>#VALUE!</v>
      </c>
      <c r="AA116" t="e" cm="1" vm="2">
        <f t="array" aca="1" ref="AA116" ca="1">_xlfn.LET(_xlpm.dates, _xlfn._xlws.FILTER(G116:Z116, G116:Z116&lt;&gt;""),_xlpm.sorted,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"&amp;F116&amp;""": ["&amp;_xlpm.result&amp;"]")</f>
        <v>#VALUE!</v>
      </c>
    </row>
    <row r="117" spans="1:27" x14ac:dyDescent="0.2">
      <c r="A117" s="3">
        <v>46184</v>
      </c>
      <c r="B117" s="2"/>
      <c r="C117">
        <f t="shared" si="2"/>
        <v>30</v>
      </c>
      <c r="G117" s="3" t="e" cm="1" vm="3">
        <f t="array" aca="1" ref="G117" ca="1">TRANSPOSE(_xlfn._xlws.FILTER($A$2:$A$2000, $C$2:$C$2000=F117))</f>
        <v>#VALUE!</v>
      </c>
      <c r="AA117" t="e" cm="1" vm="2">
        <f t="array" aca="1" ref="AA117" ca="1">_xlfn.LET(_xlpm.dates, _xlfn._xlws.FILTER(G117:Z117, G117:Z117&lt;&gt;""),_xlpm.sorted,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"&amp;F117&amp;""": ["&amp;_xlpm.result&amp;"]")</f>
        <v>#VALUE!</v>
      </c>
    </row>
    <row r="118" spans="1:27" x14ac:dyDescent="0.2">
      <c r="A118" s="3">
        <v>46185</v>
      </c>
      <c r="B118" s="2"/>
      <c r="C118">
        <f t="shared" si="2"/>
        <v>30</v>
      </c>
      <c r="G118" s="3" t="e" cm="1" vm="3">
        <f t="array" aca="1" ref="G118" ca="1">TRANSPOSE(_xlfn._xlws.FILTER($A$2:$A$2000, $C$2:$C$2000=F118))</f>
        <v>#VALUE!</v>
      </c>
      <c r="AA118" t="e" cm="1" vm="2">
        <f t="array" aca="1" ref="AA118" ca="1">_xlfn.LET(_xlpm.dates, _xlfn._xlws.FILTER(G118:Z118, G118:Z118&lt;&gt;""),_xlpm.sorted,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"&amp;F118&amp;""": ["&amp;_xlpm.result&amp;"]")</f>
        <v>#VALUE!</v>
      </c>
    </row>
    <row r="119" spans="1:27" x14ac:dyDescent="0.2">
      <c r="A119" s="3">
        <v>46186</v>
      </c>
      <c r="B119" s="2"/>
      <c r="C119">
        <f t="shared" si="2"/>
        <v>30</v>
      </c>
      <c r="G119" s="3" t="e" cm="1" vm="3">
        <f t="array" aca="1" ref="G119" ca="1">TRANSPOSE(_xlfn._xlws.FILTER($A$2:$A$2000, $C$2:$C$2000=F119))</f>
        <v>#VALUE!</v>
      </c>
      <c r="AA119" t="e" cm="1" vm="2">
        <f t="array" aca="1" ref="AA119" ca="1">_xlfn.LET(_xlpm.dates, _xlfn._xlws.FILTER(G119:Z119, G119:Z119&lt;&gt;""),_xlpm.sorted,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"&amp;F119&amp;""": ["&amp;_xlpm.result&amp;"]")</f>
        <v>#VALUE!</v>
      </c>
    </row>
    <row r="120" spans="1:27" x14ac:dyDescent="0.2">
      <c r="A120" s="3">
        <v>46187</v>
      </c>
      <c r="B120" s="2"/>
      <c r="C120">
        <f t="shared" si="2"/>
        <v>30</v>
      </c>
      <c r="G120" s="3" t="e" cm="1" vm="3">
        <f t="array" aca="1" ref="G120" ca="1">TRANSPOSE(_xlfn._xlws.FILTER($A$2:$A$2000, $C$2:$C$2000=F120))</f>
        <v>#VALUE!</v>
      </c>
      <c r="AA120" t="e" cm="1" vm="2">
        <f t="array" aca="1" ref="AA120" ca="1">_xlfn.LET(_xlpm.dates, _xlfn._xlws.FILTER(G120:Z120, G120:Z120&lt;&gt;""),_xlpm.sorted,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"&amp;F120&amp;""": ["&amp;_xlpm.result&amp;"]")</f>
        <v>#VALUE!</v>
      </c>
    </row>
    <row r="121" spans="1:27" x14ac:dyDescent="0.2">
      <c r="A121" s="3">
        <v>46188</v>
      </c>
      <c r="B121" s="2"/>
      <c r="C121">
        <f t="shared" si="2"/>
        <v>30</v>
      </c>
      <c r="G121" s="3" t="e" cm="1" vm="3">
        <f t="array" aca="1" ref="G121" ca="1">TRANSPOSE(_xlfn._xlws.FILTER($A$2:$A$2000, $C$2:$C$2000=F121))</f>
        <v>#VALUE!</v>
      </c>
      <c r="AA121" t="e" cm="1" vm="2">
        <f t="array" aca="1" ref="AA121" ca="1">_xlfn.LET(_xlpm.dates, _xlfn._xlws.FILTER(G121:Z121, G121:Z121&lt;&gt;""),_xlpm.sorted,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"&amp;F121&amp;""": ["&amp;_xlpm.result&amp;"]")</f>
        <v>#VALUE!</v>
      </c>
    </row>
    <row r="122" spans="1:27" x14ac:dyDescent="0.2">
      <c r="A122" s="3">
        <v>46189</v>
      </c>
      <c r="B122" s="2"/>
      <c r="C122">
        <f t="shared" si="2"/>
        <v>30</v>
      </c>
      <c r="G122" s="3" t="e" cm="1" vm="3">
        <f t="array" aca="1" ref="G122" ca="1">TRANSPOSE(_xlfn._xlws.FILTER($A$2:$A$2000, $C$2:$C$2000=F122))</f>
        <v>#VALUE!</v>
      </c>
      <c r="AA122" t="e" cm="1" vm="2">
        <f t="array" aca="1" ref="AA122" ca="1">_xlfn.LET(_xlpm.dates, _xlfn._xlws.FILTER(G122:Z122, G122:Z122&lt;&gt;""),_xlpm.sorted,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"&amp;F122&amp;""": ["&amp;_xlpm.result&amp;"]")</f>
        <v>#VALUE!</v>
      </c>
    </row>
    <row r="123" spans="1:27" x14ac:dyDescent="0.2">
      <c r="A123" s="3">
        <v>46190</v>
      </c>
      <c r="B123" s="2"/>
      <c r="C123">
        <f t="shared" si="2"/>
        <v>30</v>
      </c>
      <c r="G123" s="3" t="e" cm="1" vm="3">
        <f t="array" aca="1" ref="G123" ca="1">TRANSPOSE(_xlfn._xlws.FILTER($A$2:$A$2000, $C$2:$C$2000=F123))</f>
        <v>#VALUE!</v>
      </c>
      <c r="AA123" t="e" cm="1" vm="2">
        <f t="array" aca="1" ref="AA123" ca="1">_xlfn.LET(_xlpm.dates, _xlfn._xlws.FILTER(G123:Z123, G123:Z123&lt;&gt;""),_xlpm.sorted,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"&amp;F123&amp;""": ["&amp;_xlpm.result&amp;"]")</f>
        <v>#VALUE!</v>
      </c>
    </row>
    <row r="124" spans="1:27" x14ac:dyDescent="0.2">
      <c r="A124" s="3">
        <v>46191</v>
      </c>
      <c r="B124" s="2"/>
      <c r="C124">
        <f t="shared" si="2"/>
        <v>30</v>
      </c>
      <c r="G124" s="3" t="e" cm="1" vm="3">
        <f t="array" aca="1" ref="G124" ca="1">TRANSPOSE(_xlfn._xlws.FILTER($A$2:$A$2000, $C$2:$C$2000=F124))</f>
        <v>#VALUE!</v>
      </c>
      <c r="AA124" t="e" cm="1" vm="2">
        <f t="array" aca="1" ref="AA124" ca="1">_xlfn.LET(_xlpm.dates, _xlfn._xlws.FILTER(G124:Z124, G124:Z124&lt;&gt;""),_xlpm.sorted,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"&amp;F124&amp;""": ["&amp;_xlpm.result&amp;"]")</f>
        <v>#VALUE!</v>
      </c>
    </row>
    <row r="125" spans="1:27" x14ac:dyDescent="0.2">
      <c r="A125" s="3">
        <v>46192</v>
      </c>
      <c r="B125" s="2"/>
      <c r="C125">
        <f t="shared" si="2"/>
        <v>30</v>
      </c>
      <c r="G125" s="3" t="e" cm="1" vm="3">
        <f t="array" aca="1" ref="G125" ca="1">TRANSPOSE(_xlfn._xlws.FILTER($A$2:$A$2000, $C$2:$C$2000=F125))</f>
        <v>#VALUE!</v>
      </c>
      <c r="AA125" t="e" cm="1" vm="2">
        <f t="array" aca="1" ref="AA125" ca="1">_xlfn.LET(_xlpm.dates, _xlfn._xlws.FILTER(G125:Z125, G125:Z125&lt;&gt;""),_xlpm.sorted,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"&amp;F125&amp;""": ["&amp;_xlpm.result&amp;"]")</f>
        <v>#VALUE!</v>
      </c>
    </row>
    <row r="126" spans="1:27" x14ac:dyDescent="0.2">
      <c r="A126" s="3">
        <v>46193</v>
      </c>
      <c r="B126" s="2"/>
      <c r="C126">
        <f t="shared" si="2"/>
        <v>30</v>
      </c>
      <c r="G126" s="3" t="e" cm="1" vm="3">
        <f t="array" aca="1" ref="G126" ca="1">TRANSPOSE(_xlfn._xlws.FILTER($A$2:$A$2000, $C$2:$C$2000=F126))</f>
        <v>#VALUE!</v>
      </c>
      <c r="AA126" t="e" cm="1" vm="2">
        <f t="array" aca="1" ref="AA126" ca="1">_xlfn.LET(_xlpm.dates, _xlfn._xlws.FILTER(G126:Z126, G126:Z126&lt;&gt;""),_xlpm.sorted,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"&amp;F126&amp;""": ["&amp;_xlpm.result&amp;"]")</f>
        <v>#VALUE!</v>
      </c>
    </row>
    <row r="127" spans="1:27" x14ac:dyDescent="0.2">
      <c r="A127" s="3">
        <v>46194</v>
      </c>
      <c r="B127" s="2"/>
      <c r="C127">
        <f t="shared" si="2"/>
        <v>30</v>
      </c>
      <c r="G127" s="3" t="e" cm="1" vm="3">
        <f t="array" aca="1" ref="G127" ca="1">TRANSPOSE(_xlfn._xlws.FILTER($A$2:$A$2000, $C$2:$C$2000=F127))</f>
        <v>#VALUE!</v>
      </c>
      <c r="AA127" t="e" cm="1" vm="2">
        <f t="array" aca="1" ref="AA127" ca="1">_xlfn.LET(_xlpm.dates, _xlfn._xlws.FILTER(G127:Z127, G127:Z127&lt;&gt;""),_xlpm.sorted,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"&amp;F127&amp;""": ["&amp;_xlpm.result&amp;"]")</f>
        <v>#VALUE!</v>
      </c>
    </row>
    <row r="128" spans="1:27" x14ac:dyDescent="0.2">
      <c r="A128" s="3">
        <v>46195</v>
      </c>
      <c r="B128" s="2"/>
      <c r="C128">
        <f t="shared" si="2"/>
        <v>30</v>
      </c>
      <c r="G128" s="3" t="e" cm="1" vm="3">
        <f t="array" aca="1" ref="G128" ca="1">TRANSPOSE(_xlfn._xlws.FILTER($A$2:$A$2000, $C$2:$C$2000=F128))</f>
        <v>#VALUE!</v>
      </c>
      <c r="AA128" t="e" cm="1" vm="2">
        <f t="array" aca="1" ref="AA128" ca="1">_xlfn.LET(_xlpm.dates, _xlfn._xlws.FILTER(G128:Z128, G128:Z128&lt;&gt;""),_xlpm.sorted,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"&amp;F128&amp;""": ["&amp;_xlpm.result&amp;"]")</f>
        <v>#VALUE!</v>
      </c>
    </row>
    <row r="129" spans="1:27" x14ac:dyDescent="0.2">
      <c r="A129" s="3">
        <v>46196</v>
      </c>
      <c r="B129" s="2"/>
      <c r="C129">
        <f t="shared" si="2"/>
        <v>30</v>
      </c>
      <c r="G129" s="3" t="e" cm="1" vm="3">
        <f t="array" aca="1" ref="G129" ca="1">TRANSPOSE(_xlfn._xlws.FILTER($A$2:$A$2000, $C$2:$C$2000=F129))</f>
        <v>#VALUE!</v>
      </c>
      <c r="AA129" t="e" cm="1" vm="2">
        <f t="array" aca="1" ref="AA129" ca="1">_xlfn.LET(_xlpm.dates, _xlfn._xlws.FILTER(G129:Z129, G129:Z129&lt;&gt;""),_xlpm.sorted,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"&amp;F129&amp;""": ["&amp;_xlpm.result&amp;"]")</f>
        <v>#VALUE!</v>
      </c>
    </row>
    <row r="130" spans="1:27" x14ac:dyDescent="0.2">
      <c r="A130" s="3">
        <v>46197</v>
      </c>
      <c r="B130" s="2"/>
      <c r="C130">
        <f t="shared" si="2"/>
        <v>30</v>
      </c>
      <c r="G130" s="3" t="e" cm="1" vm="3">
        <f t="array" aca="1" ref="G130" ca="1">TRANSPOSE(_xlfn._xlws.FILTER($A$2:$A$2000, $C$2:$C$2000=F130))</f>
        <v>#VALUE!</v>
      </c>
      <c r="AA130" t="e" cm="1" vm="2">
        <f t="array" aca="1" ref="AA130" ca="1">_xlfn.LET(_xlpm.dates, _xlfn._xlws.FILTER(G130:Z130, G130:Z130&lt;&gt;""),_xlpm.sorted,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"&amp;F130&amp;""": ["&amp;_xlpm.result&amp;"]")</f>
        <v>#VALUE!</v>
      </c>
    </row>
    <row r="131" spans="1:27" x14ac:dyDescent="0.2">
      <c r="A131" s="3">
        <v>46198</v>
      </c>
      <c r="B131" s="2"/>
      <c r="C131">
        <f t="shared" si="2"/>
        <v>30</v>
      </c>
      <c r="G131" s="3" t="e" cm="1" vm="3">
        <f t="array" aca="1" ref="G131" ca="1">TRANSPOSE(_xlfn._xlws.FILTER($A$2:$A$2000, $C$2:$C$2000=F131))</f>
        <v>#VALUE!</v>
      </c>
      <c r="AA131" t="e" cm="1" vm="2">
        <f t="array" aca="1" ref="AA131" ca="1">_xlfn.LET(_xlpm.dates, _xlfn._xlws.FILTER(G131:Z131, G131:Z131&lt;&gt;""),_xlpm.sorted,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"&amp;F131&amp;""": ["&amp;_xlpm.result&amp;"]")</f>
        <v>#VALUE!</v>
      </c>
    </row>
    <row r="132" spans="1:27" x14ac:dyDescent="0.2">
      <c r="A132" s="3">
        <v>46199</v>
      </c>
      <c r="B132" s="2"/>
      <c r="C132">
        <f t="shared" si="2"/>
        <v>30</v>
      </c>
      <c r="G132" s="3" t="e" cm="1" vm="3">
        <f t="array" aca="1" ref="G132" ca="1">TRANSPOSE(_xlfn._xlws.FILTER($A$2:$A$2000, $C$2:$C$2000=F132))</f>
        <v>#VALUE!</v>
      </c>
      <c r="AA132" t="e" cm="1" vm="2">
        <f t="array" aca="1" ref="AA132" ca="1">_xlfn.LET(_xlpm.dates, _xlfn._xlws.FILTER(G132:Z132, G132:Z132&lt;&gt;""),_xlpm.sorted,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"&amp;F132&amp;""": ["&amp;_xlpm.result&amp;"]")</f>
        <v>#VALUE!</v>
      </c>
    </row>
    <row r="133" spans="1:27" x14ac:dyDescent="0.2">
      <c r="A133" s="3">
        <v>46200</v>
      </c>
      <c r="B133" s="2"/>
      <c r="C133">
        <f t="shared" si="2"/>
        <v>30</v>
      </c>
      <c r="G133" s="3" t="e" cm="1" vm="3">
        <f t="array" aca="1" ref="G133" ca="1">TRANSPOSE(_xlfn._xlws.FILTER($A$2:$A$2000, $C$2:$C$2000=F133))</f>
        <v>#VALUE!</v>
      </c>
      <c r="AA133" t="e" cm="1" vm="2">
        <f t="array" aca="1" ref="AA133" ca="1">_xlfn.LET(_xlpm.dates, _xlfn._xlws.FILTER(G133:Z133, G133:Z133&lt;&gt;""),_xlpm.sorted,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"&amp;F133&amp;""": ["&amp;_xlpm.result&amp;"]")</f>
        <v>#VALUE!</v>
      </c>
    </row>
    <row r="134" spans="1:27" x14ac:dyDescent="0.2">
      <c r="A134" s="3">
        <v>46201</v>
      </c>
      <c r="B134" s="1"/>
      <c r="C134">
        <f t="shared" si="2"/>
        <v>30</v>
      </c>
      <c r="G134" s="3" t="e" cm="1" vm="3">
        <f t="array" aca="1" ref="G134" ca="1">TRANSPOSE(_xlfn._xlws.FILTER($A$2:$A$2000, $C$2:$C$2000=F134))</f>
        <v>#VALUE!</v>
      </c>
      <c r="AA134" t="e" cm="1" vm="2">
        <f t="array" aca="1" ref="AA134" ca="1">_xlfn.LET(_xlpm.dates, _xlfn._xlws.FILTER(G134:Z134, G134:Z134&lt;&gt;""),_xlpm.sorted,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"&amp;F134&amp;""": ["&amp;_xlpm.result&amp;"]")</f>
        <v>#VALUE!</v>
      </c>
    </row>
    <row r="135" spans="1:27" x14ac:dyDescent="0.2">
      <c r="A135" s="3">
        <v>46202</v>
      </c>
      <c r="B135" s="1"/>
      <c r="C135">
        <f t="shared" si="2"/>
        <v>30</v>
      </c>
      <c r="G135" s="3" t="e" cm="1" vm="3">
        <f t="array" aca="1" ref="G135" ca="1">TRANSPOSE(_xlfn._xlws.FILTER($A$2:$A$2000, $C$2:$C$2000=F135))</f>
        <v>#VALUE!</v>
      </c>
      <c r="AA135" t="e" cm="1" vm="2">
        <f t="array" aca="1" ref="AA135" ca="1">_xlfn.LET(_xlpm.dates, _xlfn._xlws.FILTER(G135:Z135, G135:Z135&lt;&gt;""),_xlpm.sorted,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"&amp;F135&amp;""": ["&amp;_xlpm.result&amp;"]")</f>
        <v>#VALUE!</v>
      </c>
    </row>
    <row r="136" spans="1:27" x14ac:dyDescent="0.2">
      <c r="A136" s="3">
        <v>46203</v>
      </c>
      <c r="B136" s="1"/>
      <c r="C136">
        <f t="shared" si="2"/>
        <v>30</v>
      </c>
      <c r="G136" s="3" t="e" cm="1" vm="3">
        <f t="array" aca="1" ref="G136" ca="1">TRANSPOSE(_xlfn._xlws.FILTER($A$2:$A$2000, $C$2:$C$2000=F136))</f>
        <v>#VALUE!</v>
      </c>
      <c r="AA136" t="e" cm="1" vm="2">
        <f t="array" aca="1" ref="AA136" ca="1">_xlfn.LET(_xlpm.dates, _xlfn._xlws.FILTER(G136:Z136, G136:Z136&lt;&gt;""),_xlpm.sorted,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"&amp;F136&amp;""": ["&amp;_xlpm.result&amp;"]")</f>
        <v>#VALUE!</v>
      </c>
    </row>
    <row r="137" spans="1:27" x14ac:dyDescent="0.2">
      <c r="A137" s="3">
        <v>46204</v>
      </c>
      <c r="B137" s="2"/>
      <c r="C137">
        <f t="shared" si="2"/>
        <v>30</v>
      </c>
      <c r="G137" s="3" t="e" cm="1" vm="3">
        <f t="array" aca="1" ref="G137" ca="1">TRANSPOSE(_xlfn._xlws.FILTER($A$2:$A$2000, $C$2:$C$2000=F137))</f>
        <v>#VALUE!</v>
      </c>
      <c r="AA137" t="e" cm="1" vm="2">
        <f t="array" aca="1" ref="AA137" ca="1">_xlfn.LET(_xlpm.dates, _xlfn._xlws.FILTER(G137:Z137, G137:Z137&lt;&gt;""),_xlpm.sorted,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"&amp;F137&amp;""": ["&amp;_xlpm.result&amp;"]")</f>
        <v>#VALUE!</v>
      </c>
    </row>
    <row r="138" spans="1:27" x14ac:dyDescent="0.2">
      <c r="A138" s="3">
        <v>46205</v>
      </c>
      <c r="B138" s="2"/>
      <c r="C138">
        <f t="shared" si="2"/>
        <v>30</v>
      </c>
      <c r="G138" s="3" t="e" cm="1" vm="3">
        <f t="array" aca="1" ref="G138" ca="1">TRANSPOSE(_xlfn._xlws.FILTER($A$2:$A$2000, $C$2:$C$2000=F138))</f>
        <v>#VALUE!</v>
      </c>
      <c r="AA138" t="e" cm="1" vm="2">
        <f t="array" aca="1" ref="AA138" ca="1">_xlfn.LET(_xlpm.dates, _xlfn._xlws.FILTER(G138:Z138, G138:Z138&lt;&gt;""),_xlpm.sorted,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"&amp;F138&amp;""": ["&amp;_xlpm.result&amp;"]")</f>
        <v>#VALUE!</v>
      </c>
    </row>
    <row r="139" spans="1:27" x14ac:dyDescent="0.2">
      <c r="A139" s="3">
        <v>46206</v>
      </c>
      <c r="B139" s="2"/>
      <c r="C139">
        <f t="shared" si="2"/>
        <v>30</v>
      </c>
      <c r="G139" s="3" t="e" cm="1" vm="3">
        <f t="array" aca="1" ref="G139" ca="1">TRANSPOSE(_xlfn._xlws.FILTER($A$2:$A$2000, $C$2:$C$2000=F139))</f>
        <v>#VALUE!</v>
      </c>
      <c r="AA139" t="e" cm="1" vm="2">
        <f t="array" aca="1" ref="AA139" ca="1">_xlfn.LET(_xlpm.dates, _xlfn._xlws.FILTER(G139:Z139, G139:Z139&lt;&gt;""),_xlpm.sorted,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"&amp;F139&amp;""": ["&amp;_xlpm.result&amp;"]")</f>
        <v>#VALUE!</v>
      </c>
    </row>
    <row r="140" spans="1:27" x14ac:dyDescent="0.2">
      <c r="A140" s="3">
        <v>46207</v>
      </c>
      <c r="B140" s="2"/>
      <c r="C140">
        <f t="shared" si="2"/>
        <v>30</v>
      </c>
      <c r="G140" s="3" t="e" cm="1" vm="3">
        <f t="array" aca="1" ref="G140" ca="1">TRANSPOSE(_xlfn._xlws.FILTER($A$2:$A$2000, $C$2:$C$2000=F140))</f>
        <v>#VALUE!</v>
      </c>
      <c r="AA140" t="e" cm="1" vm="2">
        <f t="array" aca="1" ref="AA140" ca="1">_xlfn.LET(_xlpm.dates, _xlfn._xlws.FILTER(G140:Z140, G140:Z140&lt;&gt;""),_xlpm.sorted,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"&amp;F140&amp;""": ["&amp;_xlpm.result&amp;"]")</f>
        <v>#VALUE!</v>
      </c>
    </row>
    <row r="141" spans="1:27" x14ac:dyDescent="0.2">
      <c r="A141" s="3">
        <v>46208</v>
      </c>
      <c r="B141" s="2"/>
      <c r="C141">
        <f t="shared" si="2"/>
        <v>30</v>
      </c>
      <c r="G141" s="3" t="e" cm="1" vm="3">
        <f t="array" aca="1" ref="G141" ca="1">TRANSPOSE(_xlfn._xlws.FILTER($A$2:$A$2000, $C$2:$C$2000=F141))</f>
        <v>#VALUE!</v>
      </c>
      <c r="AA141" t="e" cm="1" vm="2">
        <f t="array" aca="1" ref="AA141" ca="1">_xlfn.LET(_xlpm.dates, _xlfn._xlws.FILTER(G141:Z141, G141:Z141&lt;&gt;""),_xlpm.sorted,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"&amp;F141&amp;""": ["&amp;_xlpm.result&amp;"]")</f>
        <v>#VALUE!</v>
      </c>
    </row>
    <row r="142" spans="1:27" x14ac:dyDescent="0.2">
      <c r="A142" s="3">
        <v>46209</v>
      </c>
      <c r="B142" s="2"/>
      <c r="C142">
        <f t="shared" si="2"/>
        <v>30</v>
      </c>
      <c r="G142" s="3" t="e" cm="1" vm="3">
        <f t="array" aca="1" ref="G142" ca="1">TRANSPOSE(_xlfn._xlws.FILTER($A$2:$A$2000, $C$2:$C$2000=F142))</f>
        <v>#VALUE!</v>
      </c>
      <c r="AA142" t="e" cm="1" vm="2">
        <f t="array" aca="1" ref="AA142" ca="1">_xlfn.LET(_xlpm.dates, _xlfn._xlws.FILTER(G142:Z142, G142:Z142&lt;&gt;""),_xlpm.sorted,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"&amp;F142&amp;""": ["&amp;_xlpm.result&amp;"]")</f>
        <v>#VALUE!</v>
      </c>
    </row>
    <row r="143" spans="1:27" x14ac:dyDescent="0.2">
      <c r="A143" s="3">
        <v>46210</v>
      </c>
      <c r="B143" s="2"/>
      <c r="C143">
        <f t="shared" si="2"/>
        <v>30</v>
      </c>
      <c r="G143" s="3" t="e" cm="1" vm="3">
        <f t="array" aca="1" ref="G143" ca="1">TRANSPOSE(_xlfn._xlws.FILTER($A$2:$A$2000, $C$2:$C$2000=F143))</f>
        <v>#VALUE!</v>
      </c>
      <c r="AA143" t="e" cm="1" vm="2">
        <f t="array" aca="1" ref="AA143" ca="1">_xlfn.LET(_xlpm.dates, _xlfn._xlws.FILTER(G143:Z143, G143:Z143&lt;&gt;""),_xlpm.sorted,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"&amp;F143&amp;""": ["&amp;_xlpm.result&amp;"]")</f>
        <v>#VALUE!</v>
      </c>
    </row>
    <row r="144" spans="1:27" x14ac:dyDescent="0.2">
      <c r="A144" s="3">
        <v>46211</v>
      </c>
      <c r="B144" s="2"/>
      <c r="C144">
        <f t="shared" si="2"/>
        <v>30</v>
      </c>
      <c r="G144" s="3" t="e" cm="1" vm="3">
        <f t="array" aca="1" ref="G144" ca="1">TRANSPOSE(_xlfn._xlws.FILTER($A$2:$A$2000, $C$2:$C$2000=F144))</f>
        <v>#VALUE!</v>
      </c>
      <c r="AA144" t="e" cm="1" vm="2">
        <f t="array" aca="1" ref="AA144" ca="1">_xlfn.LET(_xlpm.dates, _xlfn._xlws.FILTER(G144:Z144, G144:Z144&lt;&gt;""),_xlpm.sorted,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"&amp;F144&amp;""": ["&amp;_xlpm.result&amp;"]")</f>
        <v>#VALUE!</v>
      </c>
    </row>
    <row r="145" spans="1:27" x14ac:dyDescent="0.2">
      <c r="A145" s="3">
        <v>46212</v>
      </c>
      <c r="B145" s="2"/>
      <c r="C145">
        <f t="shared" si="2"/>
        <v>30</v>
      </c>
      <c r="G145" s="3" t="e" cm="1" vm="3">
        <f t="array" aca="1" ref="G145" ca="1">TRANSPOSE(_xlfn._xlws.FILTER($A$2:$A$2000, $C$2:$C$2000=F145))</f>
        <v>#VALUE!</v>
      </c>
      <c r="AA145" t="e" cm="1" vm="2">
        <f t="array" aca="1" ref="AA145" ca="1">_xlfn.LET(_xlpm.dates, _xlfn._xlws.FILTER(G145:Z145, G145:Z145&lt;&gt;""),_xlpm.sorted,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"&amp;F145&amp;""": ["&amp;_xlpm.result&amp;"]")</f>
        <v>#VALUE!</v>
      </c>
    </row>
    <row r="146" spans="1:27" x14ac:dyDescent="0.2">
      <c r="A146" s="3">
        <v>46213</v>
      </c>
      <c r="B146" s="2"/>
      <c r="C146">
        <f t="shared" si="2"/>
        <v>30</v>
      </c>
      <c r="G146" s="3" t="e" cm="1" vm="3">
        <f t="array" aca="1" ref="G146" ca="1">TRANSPOSE(_xlfn._xlws.FILTER($A$2:$A$2000, $C$2:$C$2000=F146))</f>
        <v>#VALUE!</v>
      </c>
      <c r="AA146" t="e" cm="1" vm="2">
        <f t="array" aca="1" ref="AA146" ca="1">_xlfn.LET(_xlpm.dates, _xlfn._xlws.FILTER(G146:Z146, G146:Z146&lt;&gt;""),_xlpm.sorted,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"&amp;F146&amp;""": ["&amp;_xlpm.result&amp;"]")</f>
        <v>#VALUE!</v>
      </c>
    </row>
    <row r="147" spans="1:27" x14ac:dyDescent="0.2">
      <c r="A147" s="3">
        <v>46214</v>
      </c>
      <c r="B147" s="2"/>
      <c r="C147">
        <f t="shared" si="2"/>
        <v>30</v>
      </c>
      <c r="G147" s="3" t="e" cm="1" vm="3">
        <f t="array" aca="1" ref="G147" ca="1">TRANSPOSE(_xlfn._xlws.FILTER($A$2:$A$2000, $C$2:$C$2000=F147))</f>
        <v>#VALUE!</v>
      </c>
      <c r="AA147" t="e" cm="1" vm="2">
        <f t="array" aca="1" ref="AA147" ca="1">_xlfn.LET(_xlpm.dates, _xlfn._xlws.FILTER(G147:Z147, G147:Z147&lt;&gt;""),_xlpm.sorted,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"&amp;F147&amp;""": ["&amp;_xlpm.result&amp;"]")</f>
        <v>#VALUE!</v>
      </c>
    </row>
    <row r="148" spans="1:27" x14ac:dyDescent="0.2">
      <c r="A148" s="3">
        <v>46215</v>
      </c>
      <c r="B148" s="2"/>
      <c r="C148">
        <f t="shared" si="2"/>
        <v>30</v>
      </c>
      <c r="G148" s="3" t="e" cm="1" vm="3">
        <f t="array" aca="1" ref="G148" ca="1">TRANSPOSE(_xlfn._xlws.FILTER($A$2:$A$2000, $C$2:$C$2000=F148))</f>
        <v>#VALUE!</v>
      </c>
      <c r="AA148" t="e" cm="1" vm="2">
        <f t="array" aca="1" ref="AA148" ca="1">_xlfn.LET(_xlpm.dates, _xlfn._xlws.FILTER(G148:Z148, G148:Z148&lt;&gt;""),_xlpm.sorted,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"&amp;F148&amp;""": ["&amp;_xlpm.result&amp;"]")</f>
        <v>#VALUE!</v>
      </c>
    </row>
    <row r="149" spans="1:27" x14ac:dyDescent="0.2">
      <c r="A149" s="3">
        <v>46216</v>
      </c>
      <c r="B149" s="2"/>
      <c r="C149">
        <f t="shared" si="2"/>
        <v>30</v>
      </c>
      <c r="G149" s="3" t="e" cm="1" vm="3">
        <f t="array" aca="1" ref="G149" ca="1">TRANSPOSE(_xlfn._xlws.FILTER($A$2:$A$2000, $C$2:$C$2000=F149))</f>
        <v>#VALUE!</v>
      </c>
      <c r="AA149" t="e" cm="1" vm="2">
        <f t="array" aca="1" ref="AA149" ca="1">_xlfn.LET(_xlpm.dates, _xlfn._xlws.FILTER(G149:Z149, G149:Z149&lt;&gt;""),_xlpm.sorted,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"&amp;F149&amp;""": ["&amp;_xlpm.result&amp;"]")</f>
        <v>#VALUE!</v>
      </c>
    </row>
    <row r="150" spans="1:27" x14ac:dyDescent="0.2">
      <c r="A150" s="3">
        <v>46217</v>
      </c>
      <c r="B150" s="2"/>
      <c r="C150">
        <f t="shared" si="2"/>
        <v>30</v>
      </c>
      <c r="G150" s="3" t="e" cm="1" vm="3">
        <f t="array" aca="1" ref="G150" ca="1">TRANSPOSE(_xlfn._xlws.FILTER($A$2:$A$2000, $C$2:$C$2000=F150))</f>
        <v>#VALUE!</v>
      </c>
      <c r="AA150" t="e" cm="1" vm="2">
        <f t="array" aca="1" ref="AA150" ca="1">_xlfn.LET(_xlpm.dates, _xlfn._xlws.FILTER(G150:Z150, G150:Z150&lt;&gt;""),_xlpm.sorted,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"&amp;F150&amp;""": ["&amp;_xlpm.result&amp;"]")</f>
        <v>#VALUE!</v>
      </c>
    </row>
    <row r="151" spans="1:27" x14ac:dyDescent="0.2">
      <c r="A151" s="3">
        <v>46218</v>
      </c>
      <c r="B151" s="2"/>
      <c r="C151">
        <f t="shared" si="2"/>
        <v>30</v>
      </c>
      <c r="G151" s="3" t="e" cm="1" vm="3">
        <f t="array" aca="1" ref="G151" ca="1">TRANSPOSE(_xlfn._xlws.FILTER($A$2:$A$2000, $C$2:$C$2000=F151))</f>
        <v>#VALUE!</v>
      </c>
      <c r="AA151" t="e" cm="1" vm="2">
        <f t="array" aca="1" ref="AA151" ca="1">_xlfn.LET(_xlpm.dates, _xlfn._xlws.FILTER(G151:Z151, G151:Z151&lt;&gt;""),_xlpm.sorted,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"&amp;F151&amp;""": ["&amp;_xlpm.result&amp;"]")</f>
        <v>#VALUE!</v>
      </c>
    </row>
    <row r="152" spans="1:27" x14ac:dyDescent="0.2">
      <c r="A152" s="3">
        <v>46219</v>
      </c>
      <c r="B152" s="2"/>
      <c r="C152">
        <f t="shared" si="2"/>
        <v>30</v>
      </c>
      <c r="G152" s="3" t="e" cm="1" vm="3">
        <f t="array" aca="1" ref="G152" ca="1">TRANSPOSE(_xlfn._xlws.FILTER($A$2:$A$2000, $C$2:$C$2000=F152))</f>
        <v>#VALUE!</v>
      </c>
      <c r="AA152" t="e" cm="1" vm="2">
        <f t="array" aca="1" ref="AA152" ca="1">_xlfn.LET(_xlpm.dates, _xlfn._xlws.FILTER(G152:Z152, G152:Z152&lt;&gt;""),_xlpm.sorted,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"&amp;F152&amp;""": ["&amp;_xlpm.result&amp;"]")</f>
        <v>#VALUE!</v>
      </c>
    </row>
    <row r="153" spans="1:27" x14ac:dyDescent="0.2">
      <c r="A153" s="3">
        <v>46220</v>
      </c>
      <c r="B153" s="2"/>
      <c r="C153">
        <f t="shared" si="2"/>
        <v>30</v>
      </c>
      <c r="G153" s="3" t="e" cm="1" vm="3">
        <f t="array" aca="1" ref="G153" ca="1">TRANSPOSE(_xlfn._xlws.FILTER($A$2:$A$2000, $C$2:$C$2000=F153))</f>
        <v>#VALUE!</v>
      </c>
      <c r="AA153" t="e" cm="1" vm="2">
        <f t="array" aca="1" ref="AA153" ca="1">_xlfn.LET(_xlpm.dates, _xlfn._xlws.FILTER(G153:Z153, G153:Z153&lt;&gt;""),_xlpm.sorted,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"&amp;F153&amp;""": ["&amp;_xlpm.result&amp;"]")</f>
        <v>#VALUE!</v>
      </c>
    </row>
    <row r="154" spans="1:27" x14ac:dyDescent="0.2">
      <c r="A154" s="3">
        <v>46221</v>
      </c>
      <c r="B154" s="2"/>
      <c r="C154">
        <f t="shared" si="2"/>
        <v>30</v>
      </c>
      <c r="G154" s="3" t="e" cm="1" vm="3">
        <f t="array" aca="1" ref="G154" ca="1">TRANSPOSE(_xlfn._xlws.FILTER($A$2:$A$2000, $C$2:$C$2000=F154))</f>
        <v>#VALUE!</v>
      </c>
      <c r="AA154" t="e" cm="1" vm="2">
        <f t="array" aca="1" ref="AA154" ca="1">_xlfn.LET(_xlpm.dates, _xlfn._xlws.FILTER(G154:Z154, G154:Z154&lt;&gt;""),_xlpm.sorted,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"&amp;F154&amp;""": ["&amp;_xlpm.result&amp;"]")</f>
        <v>#VALUE!</v>
      </c>
    </row>
    <row r="155" spans="1:27" x14ac:dyDescent="0.2">
      <c r="A155" s="3">
        <v>46222</v>
      </c>
      <c r="B155" s="2"/>
      <c r="C155">
        <f t="shared" si="2"/>
        <v>30</v>
      </c>
      <c r="G155" s="3" t="e" cm="1" vm="3">
        <f t="array" aca="1" ref="G155" ca="1">TRANSPOSE(_xlfn._xlws.FILTER($A$2:$A$2000, $C$2:$C$2000=F155))</f>
        <v>#VALUE!</v>
      </c>
      <c r="AA155" t="e" cm="1" vm="2">
        <f t="array" aca="1" ref="AA155" ca="1">_xlfn.LET(_xlpm.dates, _xlfn._xlws.FILTER(G155:Z155, G155:Z155&lt;&gt;""),_xlpm.sorted,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"&amp;F155&amp;""": ["&amp;_xlpm.result&amp;"]")</f>
        <v>#VALUE!</v>
      </c>
    </row>
    <row r="156" spans="1:27" x14ac:dyDescent="0.2">
      <c r="A156" s="3">
        <v>46223</v>
      </c>
      <c r="B156" s="2"/>
      <c r="C156">
        <f t="shared" si="2"/>
        <v>30</v>
      </c>
      <c r="G156" s="3" t="e" cm="1" vm="3">
        <f t="array" aca="1" ref="G156" ca="1">TRANSPOSE(_xlfn._xlws.FILTER($A$2:$A$2000, $C$2:$C$2000=F156))</f>
        <v>#VALUE!</v>
      </c>
      <c r="AA156" t="e" cm="1" vm="2">
        <f t="array" aca="1" ref="AA156" ca="1">_xlfn.LET(_xlpm.dates, _xlfn._xlws.FILTER(G156:Z156, G156:Z156&lt;&gt;""),_xlpm.sorted,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"&amp;F156&amp;""": ["&amp;_xlpm.result&amp;"]")</f>
        <v>#VALUE!</v>
      </c>
    </row>
    <row r="157" spans="1:27" x14ac:dyDescent="0.2">
      <c r="A157" s="3">
        <v>46224</v>
      </c>
      <c r="B157" s="2"/>
      <c r="C157">
        <f t="shared" si="2"/>
        <v>30</v>
      </c>
      <c r="G157" s="3" t="e" cm="1" vm="3">
        <f t="array" aca="1" ref="G157" ca="1">TRANSPOSE(_xlfn._xlws.FILTER($A$2:$A$2000, $C$2:$C$2000=F157))</f>
        <v>#VALUE!</v>
      </c>
      <c r="AA157" t="e" cm="1" vm="2">
        <f t="array" aca="1" ref="AA157" ca="1">_xlfn.LET(_xlpm.dates, _xlfn._xlws.FILTER(G157:Z157, G157:Z157&lt;&gt;""),_xlpm.sorted,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"&amp;F157&amp;""": ["&amp;_xlpm.result&amp;"]")</f>
        <v>#VALUE!</v>
      </c>
    </row>
    <row r="158" spans="1:27" x14ac:dyDescent="0.2">
      <c r="A158" s="3">
        <v>46225</v>
      </c>
      <c r="B158" s="2"/>
      <c r="C158">
        <f t="shared" si="2"/>
        <v>30</v>
      </c>
      <c r="G158" s="3" t="e" cm="1" vm="3">
        <f t="array" aca="1" ref="G158" ca="1">TRANSPOSE(_xlfn._xlws.FILTER($A$2:$A$2000, $C$2:$C$2000=F158))</f>
        <v>#VALUE!</v>
      </c>
      <c r="AA158" t="e" cm="1" vm="2">
        <f t="array" aca="1" ref="AA158" ca="1">_xlfn.LET(_xlpm.dates, _xlfn._xlws.FILTER(G158:Z158, G158:Z158&lt;&gt;""),_xlpm.sorted,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"&amp;F158&amp;""": ["&amp;_xlpm.result&amp;"]")</f>
        <v>#VALUE!</v>
      </c>
    </row>
    <row r="159" spans="1:27" x14ac:dyDescent="0.2">
      <c r="A159" s="3">
        <v>46226</v>
      </c>
      <c r="B159" s="2"/>
      <c r="C159">
        <f t="shared" si="2"/>
        <v>30</v>
      </c>
      <c r="G159" s="3" t="e" cm="1" vm="3">
        <f t="array" aca="1" ref="G159" ca="1">TRANSPOSE(_xlfn._xlws.FILTER($A$2:$A$2000, $C$2:$C$2000=F159))</f>
        <v>#VALUE!</v>
      </c>
      <c r="AA159" t="e" cm="1" vm="2">
        <f t="array" aca="1" ref="AA159" ca="1">_xlfn.LET(_xlpm.dates, _xlfn._xlws.FILTER(G159:Z159, G159:Z159&lt;&gt;""),_xlpm.sorted,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"&amp;F159&amp;""": ["&amp;_xlpm.result&amp;"]")</f>
        <v>#VALUE!</v>
      </c>
    </row>
    <row r="160" spans="1:27" x14ac:dyDescent="0.2">
      <c r="A160" s="3">
        <v>46227</v>
      </c>
      <c r="B160" s="2"/>
      <c r="C160">
        <f t="shared" ref="C160:C223" si="3">MATCH(B160, $D$1:$D$195, 0)-1</f>
        <v>30</v>
      </c>
      <c r="G160" s="3" t="e" cm="1" vm="3">
        <f t="array" aca="1" ref="G160" ca="1">TRANSPOSE(_xlfn._xlws.FILTER($A$2:$A$2000, $C$2:$C$2000=F160))</f>
        <v>#VALUE!</v>
      </c>
      <c r="AA160" t="e" cm="1" vm="2">
        <f t="array" aca="1" ref="AA160" ca="1">_xlfn.LET(_xlpm.dates, _xlfn._xlws.FILTER(G160:Z160, G160:Z160&lt;&gt;""),_xlpm.sorted,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"&amp;F160&amp;""": ["&amp;_xlpm.result&amp;"]")</f>
        <v>#VALUE!</v>
      </c>
    </row>
    <row r="161" spans="1:27" x14ac:dyDescent="0.2">
      <c r="A161" s="3">
        <v>46228</v>
      </c>
      <c r="B161" s="2"/>
      <c r="C161">
        <f t="shared" si="3"/>
        <v>30</v>
      </c>
      <c r="G161" s="3" t="e" cm="1" vm="3">
        <f t="array" aca="1" ref="G161" ca="1">TRANSPOSE(_xlfn._xlws.FILTER($A$2:$A$2000, $C$2:$C$2000=F161))</f>
        <v>#VALUE!</v>
      </c>
      <c r="AA161" t="e" cm="1" vm="2">
        <f t="array" aca="1" ref="AA161" ca="1">_xlfn.LET(_xlpm.dates, _xlfn._xlws.FILTER(G161:Z161, G161:Z161&lt;&gt;""),_xlpm.sorted,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"&amp;F161&amp;""": ["&amp;_xlpm.result&amp;"]")</f>
        <v>#VALUE!</v>
      </c>
    </row>
    <row r="162" spans="1:27" x14ac:dyDescent="0.2">
      <c r="A162" s="3">
        <v>46229</v>
      </c>
      <c r="B162" s="1"/>
      <c r="C162">
        <f t="shared" si="3"/>
        <v>30</v>
      </c>
      <c r="G162" s="3" t="e" cm="1" vm="3">
        <f t="array" aca="1" ref="G162" ca="1">TRANSPOSE(_xlfn._xlws.FILTER($A$2:$A$2000, $C$2:$C$2000=F162))</f>
        <v>#VALUE!</v>
      </c>
      <c r="AA162" t="e" cm="1" vm="2">
        <f t="array" aca="1" ref="AA162" ca="1">_xlfn.LET(_xlpm.dates, _xlfn._xlws.FILTER(G162:Z162, G162:Z162&lt;&gt;""),_xlpm.sorted,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"&amp;F162&amp;""": ["&amp;_xlpm.result&amp;"]")</f>
        <v>#VALUE!</v>
      </c>
    </row>
    <row r="163" spans="1:27" x14ac:dyDescent="0.2">
      <c r="A163" s="3">
        <v>46230</v>
      </c>
      <c r="B163" s="1"/>
      <c r="C163">
        <f t="shared" si="3"/>
        <v>30</v>
      </c>
      <c r="G163" s="3" t="e" cm="1" vm="3">
        <f t="array" aca="1" ref="G163" ca="1">TRANSPOSE(_xlfn._xlws.FILTER($A$2:$A$2000, $C$2:$C$2000=F163))</f>
        <v>#VALUE!</v>
      </c>
      <c r="AA163" t="e" cm="1" vm="2">
        <f t="array" aca="1" ref="AA163" ca="1">_xlfn.LET(_xlpm.dates, _xlfn._xlws.FILTER(G163:Z163, G163:Z163&lt;&gt;""),_xlpm.sorted,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"&amp;F163&amp;""": ["&amp;_xlpm.result&amp;"]")</f>
        <v>#VALUE!</v>
      </c>
    </row>
    <row r="164" spans="1:27" x14ac:dyDescent="0.2">
      <c r="A164" s="3">
        <v>46231</v>
      </c>
      <c r="B164" s="1"/>
      <c r="C164">
        <f t="shared" si="3"/>
        <v>30</v>
      </c>
      <c r="G164" s="3" t="e" cm="1" vm="3">
        <f t="array" aca="1" ref="G164" ca="1">TRANSPOSE(_xlfn._xlws.FILTER($A$2:$A$2000, $C$2:$C$2000=F164))</f>
        <v>#VALUE!</v>
      </c>
      <c r="AA164" t="e" cm="1" vm="2">
        <f t="array" aca="1" ref="AA164" ca="1">_xlfn.LET(_xlpm.dates, _xlfn._xlws.FILTER(G164:Z164, G164:Z164&lt;&gt;""),_xlpm.sorted,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"&amp;F164&amp;""": ["&amp;_xlpm.result&amp;"]")</f>
        <v>#VALUE!</v>
      </c>
    </row>
    <row r="165" spans="1:27" x14ac:dyDescent="0.2">
      <c r="A165" s="3">
        <v>46232</v>
      </c>
      <c r="B165" s="1"/>
      <c r="C165">
        <f t="shared" si="3"/>
        <v>30</v>
      </c>
      <c r="G165" s="3" t="e" cm="1" vm="3">
        <f t="array" aca="1" ref="G165" ca="1">TRANSPOSE(_xlfn._xlws.FILTER($A$2:$A$2000, $C$2:$C$2000=F165))</f>
        <v>#VALUE!</v>
      </c>
      <c r="AA165" t="e" cm="1" vm="2">
        <f t="array" aca="1" ref="AA165" ca="1">_xlfn.LET(_xlpm.dates, _xlfn._xlws.FILTER(G165:Z165, G165:Z165&lt;&gt;""),_xlpm.sorted,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"&amp;F165&amp;""": ["&amp;_xlpm.result&amp;"]")</f>
        <v>#VALUE!</v>
      </c>
    </row>
    <row r="166" spans="1:27" x14ac:dyDescent="0.2">
      <c r="A166" s="3">
        <v>46233</v>
      </c>
      <c r="B166" s="1"/>
      <c r="C166">
        <f t="shared" si="3"/>
        <v>30</v>
      </c>
      <c r="G166" s="3" t="e" cm="1" vm="3">
        <f t="array" aca="1" ref="G166" ca="1">TRANSPOSE(_xlfn._xlws.FILTER($A$2:$A$2000, $C$2:$C$2000=F166))</f>
        <v>#VALUE!</v>
      </c>
      <c r="AA166" t="e" cm="1" vm="2">
        <f t="array" aca="1" ref="AA166" ca="1">_xlfn.LET(_xlpm.dates, _xlfn._xlws.FILTER(G166:Z166, G166:Z166&lt;&gt;""),_xlpm.sorted,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"&amp;F166&amp;""": ["&amp;_xlpm.result&amp;"]")</f>
        <v>#VALUE!</v>
      </c>
    </row>
    <row r="167" spans="1:27" x14ac:dyDescent="0.2">
      <c r="A167" s="3">
        <v>46234</v>
      </c>
      <c r="B167" s="1"/>
      <c r="C167">
        <f t="shared" si="3"/>
        <v>30</v>
      </c>
      <c r="G167" s="3" t="e" cm="1" vm="3">
        <f t="array" aca="1" ref="G167" ca="1">TRANSPOSE(_xlfn._xlws.FILTER($A$2:$A$2000, $C$2:$C$2000=F167))</f>
        <v>#VALUE!</v>
      </c>
      <c r="AA167" t="e" cm="1" vm="2">
        <f t="array" aca="1" ref="AA167" ca="1">_xlfn.LET(_xlpm.dates, _xlfn._xlws.FILTER(G167:Z167, G167:Z167&lt;&gt;""),_xlpm.sorted,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"&amp;F167&amp;""": ["&amp;_xlpm.result&amp;"]")</f>
        <v>#VALUE!</v>
      </c>
    </row>
    <row r="168" spans="1:27" x14ac:dyDescent="0.2">
      <c r="A168" s="3">
        <v>46235</v>
      </c>
      <c r="B168" s="2"/>
      <c r="C168">
        <f t="shared" si="3"/>
        <v>30</v>
      </c>
      <c r="G168" s="3" t="e" cm="1" vm="3">
        <f t="array" aca="1" ref="G168" ca="1">TRANSPOSE(_xlfn._xlws.FILTER($A$2:$A$2000, $C$2:$C$2000=F168))</f>
        <v>#VALUE!</v>
      </c>
      <c r="AA168" t="e" cm="1" vm="2">
        <f t="array" aca="1" ref="AA168" ca="1">_xlfn.LET(_xlpm.dates, _xlfn._xlws.FILTER(G168:Z168, G168:Z168&lt;&gt;""),_xlpm.sorted,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"&amp;F168&amp;""": ["&amp;_xlpm.result&amp;"]")</f>
        <v>#VALUE!</v>
      </c>
    </row>
    <row r="169" spans="1:27" x14ac:dyDescent="0.2">
      <c r="A169" s="3">
        <v>46236</v>
      </c>
      <c r="B169" s="2"/>
      <c r="C169">
        <f t="shared" si="3"/>
        <v>30</v>
      </c>
      <c r="G169" s="3" t="e" cm="1" vm="3">
        <f t="array" aca="1" ref="G169" ca="1">TRANSPOSE(_xlfn._xlws.FILTER($A$2:$A$2000, $C$2:$C$2000=F169))</f>
        <v>#VALUE!</v>
      </c>
      <c r="AA169" t="e" cm="1" vm="2">
        <f t="array" aca="1" ref="AA169" ca="1">_xlfn.LET(_xlpm.dates, _xlfn._xlws.FILTER(G169:Z169, G169:Z169&lt;&gt;""),_xlpm.sorted,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"&amp;F169&amp;""": ["&amp;_xlpm.result&amp;"]")</f>
        <v>#VALUE!</v>
      </c>
    </row>
    <row r="170" spans="1:27" x14ac:dyDescent="0.2">
      <c r="A170" s="3">
        <v>46237</v>
      </c>
      <c r="B170" s="2"/>
      <c r="C170">
        <f t="shared" si="3"/>
        <v>30</v>
      </c>
      <c r="G170" s="3" t="e" cm="1" vm="3">
        <f t="array" aca="1" ref="G170" ca="1">TRANSPOSE(_xlfn._xlws.FILTER($A$2:$A$2000, $C$2:$C$2000=F170))</f>
        <v>#VALUE!</v>
      </c>
      <c r="AA170" t="e" cm="1" vm="2">
        <f t="array" aca="1" ref="AA170" ca="1">_xlfn.LET(_xlpm.dates, _xlfn._xlws.FILTER(G170:Z170, G170:Z170&lt;&gt;""),_xlpm.sorted,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"&amp;F170&amp;""": ["&amp;_xlpm.result&amp;"]")</f>
        <v>#VALUE!</v>
      </c>
    </row>
    <row r="171" spans="1:27" x14ac:dyDescent="0.2">
      <c r="A171" s="3">
        <v>46238</v>
      </c>
      <c r="B171" s="2"/>
      <c r="C171">
        <f t="shared" si="3"/>
        <v>30</v>
      </c>
      <c r="G171" s="3" t="e" cm="1" vm="3">
        <f t="array" aca="1" ref="G171" ca="1">TRANSPOSE(_xlfn._xlws.FILTER($A$2:$A$2000, $C$2:$C$2000=F171))</f>
        <v>#VALUE!</v>
      </c>
      <c r="AA171" t="e" cm="1" vm="2">
        <f t="array" aca="1" ref="AA171" ca="1">_xlfn.LET(_xlpm.dates, _xlfn._xlws.FILTER(G171:Z171, G171:Z171&lt;&gt;""),_xlpm.sorted,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"&amp;F171&amp;""": ["&amp;_xlpm.result&amp;"]")</f>
        <v>#VALUE!</v>
      </c>
    </row>
    <row r="172" spans="1:27" x14ac:dyDescent="0.2">
      <c r="A172" s="3">
        <v>46239</v>
      </c>
      <c r="B172" s="2"/>
      <c r="C172">
        <f t="shared" si="3"/>
        <v>30</v>
      </c>
      <c r="G172" s="3" t="e" cm="1" vm="3">
        <f t="array" aca="1" ref="G172" ca="1">TRANSPOSE(_xlfn._xlws.FILTER($A$2:$A$2000, $C$2:$C$2000=F172))</f>
        <v>#VALUE!</v>
      </c>
      <c r="AA172" t="e" cm="1" vm="2">
        <f t="array" aca="1" ref="AA172" ca="1">_xlfn.LET(_xlpm.dates, _xlfn._xlws.FILTER(G172:Z172, G172:Z172&lt;&gt;""),_xlpm.sorted,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"&amp;F172&amp;""": ["&amp;_xlpm.result&amp;"]")</f>
        <v>#VALUE!</v>
      </c>
    </row>
    <row r="173" spans="1:27" x14ac:dyDescent="0.2">
      <c r="A173" s="3">
        <v>46240</v>
      </c>
      <c r="B173" s="2"/>
      <c r="C173">
        <f t="shared" si="3"/>
        <v>30</v>
      </c>
      <c r="G173" s="3" t="e" cm="1" vm="3">
        <f t="array" aca="1" ref="G173" ca="1">TRANSPOSE(_xlfn._xlws.FILTER($A$2:$A$2000, $C$2:$C$2000=F173))</f>
        <v>#VALUE!</v>
      </c>
      <c r="AA173" t="e" cm="1" vm="2">
        <f t="array" aca="1" ref="AA173" ca="1">_xlfn.LET(_xlpm.dates, _xlfn._xlws.FILTER(G173:Z173, G173:Z173&lt;&gt;""),_xlpm.sorted,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"&amp;F173&amp;""": ["&amp;_xlpm.result&amp;"]")</f>
        <v>#VALUE!</v>
      </c>
    </row>
    <row r="174" spans="1:27" x14ac:dyDescent="0.2">
      <c r="A174" s="3">
        <v>46241</v>
      </c>
      <c r="B174" s="2"/>
      <c r="C174">
        <f t="shared" si="3"/>
        <v>30</v>
      </c>
      <c r="G174" s="3" t="e" cm="1" vm="3">
        <f t="array" aca="1" ref="G174" ca="1">TRANSPOSE(_xlfn._xlws.FILTER($A$2:$A$2000, $C$2:$C$2000=F174))</f>
        <v>#VALUE!</v>
      </c>
      <c r="AA174" t="e" cm="1" vm="2">
        <f t="array" aca="1" ref="AA174" ca="1">_xlfn.LET(_xlpm.dates, _xlfn._xlws.FILTER(G174:Z174, G174:Z174&lt;&gt;""),_xlpm.sorted,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"&amp;F174&amp;""": ["&amp;_xlpm.result&amp;"]")</f>
        <v>#VALUE!</v>
      </c>
    </row>
    <row r="175" spans="1:27" x14ac:dyDescent="0.2">
      <c r="A175" s="3">
        <v>46242</v>
      </c>
      <c r="B175" s="2"/>
      <c r="C175">
        <f t="shared" si="3"/>
        <v>30</v>
      </c>
      <c r="G175" s="3" t="e" cm="1" vm="3">
        <f t="array" aca="1" ref="G175" ca="1">TRANSPOSE(_xlfn._xlws.FILTER($A$2:$A$2000, $C$2:$C$2000=F175))</f>
        <v>#VALUE!</v>
      </c>
      <c r="AA175" t="e" cm="1" vm="2">
        <f t="array" aca="1" ref="AA175" ca="1">_xlfn.LET(_xlpm.dates, _xlfn._xlws.FILTER(G175:Z175, G175:Z175&lt;&gt;""),_xlpm.sorted,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"&amp;F175&amp;""": ["&amp;_xlpm.result&amp;"]")</f>
        <v>#VALUE!</v>
      </c>
    </row>
    <row r="176" spans="1:27" x14ac:dyDescent="0.2">
      <c r="A176" s="3">
        <v>46243</v>
      </c>
      <c r="B176" s="2"/>
      <c r="C176">
        <f t="shared" si="3"/>
        <v>30</v>
      </c>
      <c r="G176" s="3" t="e" cm="1" vm="3">
        <f t="array" aca="1" ref="G176" ca="1">TRANSPOSE(_xlfn._xlws.FILTER($A$2:$A$2000, $C$2:$C$2000=F176))</f>
        <v>#VALUE!</v>
      </c>
      <c r="AA176" t="e" cm="1" vm="2">
        <f t="array" aca="1" ref="AA176" ca="1">_xlfn.LET(_xlpm.dates, _xlfn._xlws.FILTER(G176:Z176, G176:Z176&lt;&gt;""),_xlpm.sorted,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"&amp;F176&amp;""": ["&amp;_xlpm.result&amp;"]")</f>
        <v>#VALUE!</v>
      </c>
    </row>
    <row r="177" spans="1:1698" x14ac:dyDescent="0.2">
      <c r="A177" s="3">
        <v>46244</v>
      </c>
      <c r="B177" s="2"/>
      <c r="C177">
        <f t="shared" si="3"/>
        <v>30</v>
      </c>
      <c r="G177" s="3" t="e" cm="1" vm="3">
        <f t="array" aca="1" ref="G177" ca="1">TRANSPOSE(_xlfn._xlws.FILTER($A$2:$A$2000, $C$2:$C$2000=F177))</f>
        <v>#VALUE!</v>
      </c>
      <c r="AA177" t="e" cm="1" vm="2">
        <f t="array" aca="1" ref="AA177" ca="1">_xlfn.LET(_xlpm.dates, _xlfn._xlws.FILTER(G177:Z177, G177:Z177&lt;&gt;""),_xlpm.sorted,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"&amp;F177&amp;""": ["&amp;_xlpm.result&amp;"]")</f>
        <v>#VALUE!</v>
      </c>
    </row>
    <row r="178" spans="1:1698" x14ac:dyDescent="0.2">
      <c r="A178" s="3">
        <v>46245</v>
      </c>
      <c r="B178" s="2"/>
      <c r="C178">
        <f t="shared" si="3"/>
        <v>30</v>
      </c>
      <c r="G178" s="3" t="e" cm="1" vm="3">
        <f t="array" aca="1" ref="G178" ca="1">TRANSPOSE(_xlfn._xlws.FILTER($A$2:$A$2000, $C$2:$C$2000=F178))</f>
        <v>#VALUE!</v>
      </c>
      <c r="AA178" t="e" cm="1" vm="2">
        <f t="array" aca="1" ref="AA178" ca="1">_xlfn.LET(_xlpm.dates, _xlfn._xlws.FILTER(G178:Z178, G178:Z178&lt;&gt;""),_xlpm.sorted,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"&amp;F178&amp;""": ["&amp;_xlpm.result&amp;"]")</f>
        <v>#VALUE!</v>
      </c>
    </row>
    <row r="179" spans="1:1698" x14ac:dyDescent="0.2">
      <c r="A179" s="3">
        <v>46246</v>
      </c>
      <c r="B179" s="2"/>
      <c r="C179">
        <f t="shared" si="3"/>
        <v>30</v>
      </c>
      <c r="G179" s="3" t="e" cm="1" vm="3">
        <f t="array" aca="1" ref="G179" ca="1">TRANSPOSE(_xlfn._xlws.FILTER($A$2:$A$2000, $C$2:$C$2000=F179))</f>
        <v>#VALUE!</v>
      </c>
      <c r="AA179" t="e" cm="1" vm="2">
        <f t="array" aca="1" ref="AA179" ca="1">_xlfn.LET(_xlpm.dates, _xlfn._xlws.FILTER(G179:Z179, G179:Z179&lt;&gt;""),_xlpm.sorted,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"&amp;F179&amp;""": ["&amp;_xlpm.result&amp;"]")</f>
        <v>#VALUE!</v>
      </c>
    </row>
    <row r="180" spans="1:1698" x14ac:dyDescent="0.2">
      <c r="A180" s="3">
        <v>46247</v>
      </c>
      <c r="B180" s="2"/>
      <c r="C180">
        <f t="shared" si="3"/>
        <v>30</v>
      </c>
      <c r="G180" s="3" t="e" cm="1" vm="3">
        <f t="array" aca="1" ref="G180" ca="1">TRANSPOSE(_xlfn._xlws.FILTER($A$2:$A$2000, $C$2:$C$2000=F180))</f>
        <v>#VALUE!</v>
      </c>
      <c r="AA180" t="e" cm="1" vm="2">
        <f t="array" aca="1" ref="AA180" ca="1">_xlfn.LET(_xlpm.dates, _xlfn._xlws.FILTER(G180:Z180, G180:Z180&lt;&gt;""),_xlpm.sorted,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"&amp;F180&amp;""": ["&amp;_xlpm.result&amp;"]")</f>
        <v>#VALUE!</v>
      </c>
    </row>
    <row r="181" spans="1:1698" x14ac:dyDescent="0.2">
      <c r="A181" s="3">
        <v>46248</v>
      </c>
      <c r="B181" s="2"/>
      <c r="C181">
        <f t="shared" si="3"/>
        <v>30</v>
      </c>
      <c r="G181" s="3" t="e" cm="1" vm="3">
        <f t="array" aca="1" ref="G181" ca="1">TRANSPOSE(_xlfn._xlws.FILTER($A$2:$A$2000, $C$2:$C$2000=F181))</f>
        <v>#VALUE!</v>
      </c>
      <c r="AA181" t="e" cm="1" vm="2">
        <f t="array" aca="1" ref="AA181" ca="1">_xlfn.LET(_xlpm.dates, _xlfn._xlws.FILTER(G181:Z181, G181:Z181&lt;&gt;""),_xlpm.sorted,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"&amp;F181&amp;""": ["&amp;_xlpm.result&amp;"]")</f>
        <v>#VALUE!</v>
      </c>
    </row>
    <row r="182" spans="1:1698" x14ac:dyDescent="0.2">
      <c r="A182" s="3">
        <v>46249</v>
      </c>
      <c r="B182" s="2"/>
      <c r="C182">
        <f t="shared" si="3"/>
        <v>30</v>
      </c>
      <c r="G182" s="3" cm="1">
        <f t="array" ref="G182:BMH182">TRANSPOSE(_xlfn._xlws.FILTER($A$2:$A$2000, $C$2:$C$2000=F182))</f>
        <v>46069</v>
      </c>
      <c r="H182" s="3">
        <v>46070</v>
      </c>
      <c r="I182" s="3">
        <v>46071</v>
      </c>
      <c r="J182" s="3">
        <v>46072</v>
      </c>
      <c r="K182" s="3">
        <v>46073</v>
      </c>
      <c r="L182" s="3">
        <v>46074</v>
      </c>
      <c r="M182" s="3">
        <v>46075</v>
      </c>
      <c r="N182" s="3">
        <v>46076</v>
      </c>
      <c r="O182">
        <v>46077</v>
      </c>
      <c r="P182">
        <v>46078</v>
      </c>
      <c r="Q182">
        <v>46079</v>
      </c>
      <c r="R182">
        <v>46098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  <c r="RM182">
        <v>0</v>
      </c>
      <c r="RN182">
        <v>0</v>
      </c>
      <c r="RO182">
        <v>0</v>
      </c>
      <c r="RP182">
        <v>0</v>
      </c>
      <c r="RQ182">
        <v>0</v>
      </c>
      <c r="RR182">
        <v>0</v>
      </c>
      <c r="RS182">
        <v>0</v>
      </c>
      <c r="RT182">
        <v>0</v>
      </c>
      <c r="RU182">
        <v>0</v>
      </c>
      <c r="RV182">
        <v>0</v>
      </c>
      <c r="RW182">
        <v>0</v>
      </c>
      <c r="RX182">
        <v>0</v>
      </c>
      <c r="RY182">
        <v>0</v>
      </c>
      <c r="RZ182">
        <v>0</v>
      </c>
      <c r="SA182">
        <v>0</v>
      </c>
      <c r="SB182">
        <v>0</v>
      </c>
      <c r="SC182">
        <v>0</v>
      </c>
      <c r="SD182">
        <v>0</v>
      </c>
      <c r="SE182">
        <v>0</v>
      </c>
      <c r="SF182">
        <v>0</v>
      </c>
      <c r="SG182">
        <v>0</v>
      </c>
      <c r="SH182">
        <v>0</v>
      </c>
      <c r="SI182">
        <v>0</v>
      </c>
      <c r="SJ182">
        <v>0</v>
      </c>
      <c r="SK182">
        <v>0</v>
      </c>
      <c r="SL182">
        <v>0</v>
      </c>
      <c r="SM182">
        <v>0</v>
      </c>
      <c r="SN182">
        <v>0</v>
      </c>
      <c r="SO182">
        <v>0</v>
      </c>
      <c r="SP182">
        <v>0</v>
      </c>
      <c r="SQ182">
        <v>0</v>
      </c>
      <c r="SR182">
        <v>0</v>
      </c>
      <c r="SS182">
        <v>0</v>
      </c>
      <c r="ST182">
        <v>0</v>
      </c>
      <c r="SU182">
        <v>0</v>
      </c>
      <c r="SV182">
        <v>0</v>
      </c>
      <c r="SW182">
        <v>0</v>
      </c>
      <c r="SX182">
        <v>0</v>
      </c>
      <c r="SY182">
        <v>0</v>
      </c>
      <c r="SZ182">
        <v>0</v>
      </c>
      <c r="TA182">
        <v>0</v>
      </c>
      <c r="TB182">
        <v>0</v>
      </c>
      <c r="TC182">
        <v>0</v>
      </c>
      <c r="TD182">
        <v>0</v>
      </c>
      <c r="TE182">
        <v>0</v>
      </c>
      <c r="TF182">
        <v>0</v>
      </c>
      <c r="TG182">
        <v>0</v>
      </c>
      <c r="TH182">
        <v>0</v>
      </c>
      <c r="TI182">
        <v>0</v>
      </c>
      <c r="TJ182">
        <v>0</v>
      </c>
      <c r="TK182">
        <v>0</v>
      </c>
      <c r="TL182">
        <v>0</v>
      </c>
      <c r="TM182">
        <v>0</v>
      </c>
      <c r="TN182">
        <v>0</v>
      </c>
      <c r="TO182">
        <v>0</v>
      </c>
      <c r="TP182">
        <v>0</v>
      </c>
      <c r="TQ182">
        <v>0</v>
      </c>
      <c r="TR182">
        <v>0</v>
      </c>
      <c r="TS182">
        <v>0</v>
      </c>
      <c r="TT182">
        <v>0</v>
      </c>
      <c r="TU182">
        <v>0</v>
      </c>
      <c r="TV182">
        <v>0</v>
      </c>
      <c r="TW182">
        <v>0</v>
      </c>
      <c r="TX182">
        <v>0</v>
      </c>
      <c r="TY182">
        <v>0</v>
      </c>
      <c r="TZ182">
        <v>0</v>
      </c>
      <c r="UA182">
        <v>0</v>
      </c>
      <c r="UB182">
        <v>0</v>
      </c>
      <c r="UC182">
        <v>0</v>
      </c>
      <c r="UD182">
        <v>0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0</v>
      </c>
      <c r="UX182">
        <v>0</v>
      </c>
      <c r="UY182">
        <v>0</v>
      </c>
      <c r="UZ182">
        <v>0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0</v>
      </c>
      <c r="VI182">
        <v>0</v>
      </c>
      <c r="VJ182">
        <v>0</v>
      </c>
      <c r="VK182">
        <v>0</v>
      </c>
      <c r="VL182">
        <v>0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0</v>
      </c>
      <c r="WH182">
        <v>0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0</v>
      </c>
      <c r="WQ182">
        <v>0</v>
      </c>
      <c r="WR182">
        <v>0</v>
      </c>
      <c r="WS182">
        <v>0</v>
      </c>
      <c r="WT182">
        <v>0</v>
      </c>
      <c r="WU182">
        <v>0</v>
      </c>
      <c r="WV182">
        <v>0</v>
      </c>
      <c r="WW182">
        <v>0</v>
      </c>
      <c r="WX182">
        <v>0</v>
      </c>
      <c r="WY182">
        <v>0</v>
      </c>
      <c r="WZ182">
        <v>0</v>
      </c>
      <c r="XA182">
        <v>0</v>
      </c>
      <c r="XB182">
        <v>0</v>
      </c>
      <c r="XC182">
        <v>0</v>
      </c>
      <c r="XD182">
        <v>0</v>
      </c>
      <c r="XE182">
        <v>0</v>
      </c>
      <c r="XF182">
        <v>0</v>
      </c>
      <c r="XG182">
        <v>0</v>
      </c>
      <c r="XH182">
        <v>0</v>
      </c>
      <c r="XI182">
        <v>0</v>
      </c>
      <c r="XJ182">
        <v>0</v>
      </c>
      <c r="XK182">
        <v>0</v>
      </c>
      <c r="XL182">
        <v>0</v>
      </c>
      <c r="XM182">
        <v>0</v>
      </c>
      <c r="XN182">
        <v>0</v>
      </c>
      <c r="XO182">
        <v>0</v>
      </c>
      <c r="XP182">
        <v>0</v>
      </c>
      <c r="XQ182">
        <v>0</v>
      </c>
      <c r="XR182">
        <v>0</v>
      </c>
      <c r="XS182">
        <v>0</v>
      </c>
      <c r="XT182">
        <v>0</v>
      </c>
      <c r="XU182">
        <v>0</v>
      </c>
      <c r="XV182">
        <v>0</v>
      </c>
      <c r="XW182">
        <v>0</v>
      </c>
      <c r="XX182">
        <v>0</v>
      </c>
      <c r="XY182">
        <v>0</v>
      </c>
      <c r="XZ182">
        <v>0</v>
      </c>
      <c r="YA182">
        <v>0</v>
      </c>
      <c r="YB182">
        <v>0</v>
      </c>
      <c r="YC182">
        <v>0</v>
      </c>
      <c r="YD182">
        <v>0</v>
      </c>
      <c r="YE182">
        <v>0</v>
      </c>
      <c r="YF182">
        <v>0</v>
      </c>
      <c r="YG182">
        <v>0</v>
      </c>
      <c r="YH182">
        <v>0</v>
      </c>
      <c r="YI182">
        <v>0</v>
      </c>
      <c r="YJ182">
        <v>0</v>
      </c>
      <c r="YK182">
        <v>0</v>
      </c>
      <c r="YL182">
        <v>0</v>
      </c>
      <c r="YM182">
        <v>0</v>
      </c>
      <c r="YN182">
        <v>0</v>
      </c>
      <c r="YO182">
        <v>0</v>
      </c>
      <c r="YP182">
        <v>0</v>
      </c>
      <c r="YQ182">
        <v>0</v>
      </c>
      <c r="YR182">
        <v>0</v>
      </c>
      <c r="YS182">
        <v>0</v>
      </c>
      <c r="YT182">
        <v>0</v>
      </c>
      <c r="YU182">
        <v>0</v>
      </c>
      <c r="YV182">
        <v>0</v>
      </c>
      <c r="YW182">
        <v>0</v>
      </c>
      <c r="YX182">
        <v>0</v>
      </c>
      <c r="YY182">
        <v>0</v>
      </c>
      <c r="YZ182">
        <v>0</v>
      </c>
      <c r="ZA182">
        <v>0</v>
      </c>
      <c r="ZB182">
        <v>0</v>
      </c>
      <c r="ZC182">
        <v>0</v>
      </c>
      <c r="ZD182">
        <v>0</v>
      </c>
      <c r="ZE182">
        <v>0</v>
      </c>
      <c r="ZF182">
        <v>0</v>
      </c>
      <c r="ZG182">
        <v>0</v>
      </c>
      <c r="ZH182">
        <v>0</v>
      </c>
      <c r="ZI182">
        <v>0</v>
      </c>
      <c r="ZJ182">
        <v>0</v>
      </c>
      <c r="ZK182">
        <v>0</v>
      </c>
      <c r="ZL182">
        <v>0</v>
      </c>
      <c r="ZM182">
        <v>0</v>
      </c>
      <c r="ZN182">
        <v>0</v>
      </c>
      <c r="ZO182">
        <v>0</v>
      </c>
      <c r="ZP182">
        <v>0</v>
      </c>
      <c r="ZQ182">
        <v>0</v>
      </c>
      <c r="ZR182">
        <v>0</v>
      </c>
      <c r="ZS182">
        <v>0</v>
      </c>
      <c r="ZT182">
        <v>0</v>
      </c>
      <c r="ZU182">
        <v>0</v>
      </c>
      <c r="ZV182">
        <v>0</v>
      </c>
      <c r="ZW182">
        <v>0</v>
      </c>
      <c r="ZX182">
        <v>0</v>
      </c>
      <c r="ZY182">
        <v>0</v>
      </c>
      <c r="ZZ182">
        <v>0</v>
      </c>
      <c r="AAA182">
        <v>0</v>
      </c>
      <c r="AAB182">
        <v>0</v>
      </c>
      <c r="AAC182">
        <v>0</v>
      </c>
      <c r="AAD182">
        <v>0</v>
      </c>
      <c r="AAE182">
        <v>0</v>
      </c>
      <c r="AAF182">
        <v>0</v>
      </c>
      <c r="AAG182">
        <v>0</v>
      </c>
      <c r="AAH182">
        <v>0</v>
      </c>
      <c r="AAI182">
        <v>0</v>
      </c>
      <c r="AAJ182">
        <v>0</v>
      </c>
      <c r="AAK182">
        <v>0</v>
      </c>
      <c r="AAL182">
        <v>0</v>
      </c>
      <c r="AAM182">
        <v>0</v>
      </c>
      <c r="AAN182">
        <v>0</v>
      </c>
      <c r="AAO182">
        <v>0</v>
      </c>
      <c r="AAP182">
        <v>0</v>
      </c>
      <c r="AAQ182">
        <v>0</v>
      </c>
      <c r="AAR182">
        <v>0</v>
      </c>
      <c r="AAS182">
        <v>0</v>
      </c>
      <c r="AAT182">
        <v>0</v>
      </c>
      <c r="AAU182">
        <v>0</v>
      </c>
      <c r="AAV182">
        <v>0</v>
      </c>
      <c r="AAW182">
        <v>0</v>
      </c>
      <c r="AAX182">
        <v>0</v>
      </c>
      <c r="AAY182">
        <v>0</v>
      </c>
      <c r="AAZ182">
        <v>0</v>
      </c>
      <c r="ABA182">
        <v>0</v>
      </c>
      <c r="ABB182">
        <v>0</v>
      </c>
      <c r="ABC182">
        <v>0</v>
      </c>
      <c r="ABD182">
        <v>0</v>
      </c>
      <c r="ABE182">
        <v>0</v>
      </c>
      <c r="ABF182">
        <v>0</v>
      </c>
      <c r="ABG182">
        <v>0</v>
      </c>
      <c r="ABH182">
        <v>0</v>
      </c>
      <c r="ABI182">
        <v>0</v>
      </c>
      <c r="ABJ182">
        <v>0</v>
      </c>
      <c r="ABK182">
        <v>0</v>
      </c>
      <c r="ABL182">
        <v>0</v>
      </c>
      <c r="ABM182">
        <v>0</v>
      </c>
      <c r="ABN182">
        <v>0</v>
      </c>
      <c r="ABO182">
        <v>0</v>
      </c>
      <c r="ABP182">
        <v>0</v>
      </c>
      <c r="ABQ182">
        <v>0</v>
      </c>
      <c r="ABR182">
        <v>0</v>
      </c>
      <c r="ABS182">
        <v>0</v>
      </c>
      <c r="ABT182">
        <v>0</v>
      </c>
      <c r="ABU182">
        <v>0</v>
      </c>
      <c r="ABV182">
        <v>0</v>
      </c>
      <c r="ABW182">
        <v>0</v>
      </c>
      <c r="ABX182">
        <v>0</v>
      </c>
      <c r="ABY182">
        <v>0</v>
      </c>
      <c r="ABZ182">
        <v>0</v>
      </c>
      <c r="ACA182">
        <v>0</v>
      </c>
      <c r="ACB182">
        <v>0</v>
      </c>
      <c r="ACC182">
        <v>0</v>
      </c>
      <c r="ACD182">
        <v>0</v>
      </c>
      <c r="ACE182">
        <v>0</v>
      </c>
      <c r="ACF182">
        <v>0</v>
      </c>
      <c r="ACG182">
        <v>0</v>
      </c>
      <c r="ACH182">
        <v>0</v>
      </c>
      <c r="ACI182">
        <v>0</v>
      </c>
      <c r="ACJ182">
        <v>0</v>
      </c>
      <c r="ACK182">
        <v>0</v>
      </c>
      <c r="ACL182">
        <v>0</v>
      </c>
      <c r="ACM182">
        <v>0</v>
      </c>
      <c r="ACN182">
        <v>0</v>
      </c>
      <c r="ACO182">
        <v>0</v>
      </c>
      <c r="ACP182">
        <v>0</v>
      </c>
      <c r="ACQ182">
        <v>0</v>
      </c>
      <c r="ACR182">
        <v>0</v>
      </c>
      <c r="ACS182">
        <v>0</v>
      </c>
      <c r="ACT182">
        <v>0</v>
      </c>
      <c r="ACU182">
        <v>0</v>
      </c>
      <c r="ACV182">
        <v>0</v>
      </c>
      <c r="ACW182">
        <v>0</v>
      </c>
      <c r="ACX182">
        <v>0</v>
      </c>
      <c r="ACY182">
        <v>0</v>
      </c>
      <c r="ACZ182">
        <v>0</v>
      </c>
      <c r="ADA182">
        <v>0</v>
      </c>
      <c r="ADB182">
        <v>0</v>
      </c>
      <c r="ADC182">
        <v>0</v>
      </c>
      <c r="ADD182">
        <v>0</v>
      </c>
      <c r="ADE182">
        <v>0</v>
      </c>
      <c r="ADF182">
        <v>0</v>
      </c>
      <c r="ADG182">
        <v>0</v>
      </c>
      <c r="ADH182">
        <v>0</v>
      </c>
      <c r="ADI182">
        <v>0</v>
      </c>
      <c r="ADJ182">
        <v>0</v>
      </c>
      <c r="ADK182">
        <v>0</v>
      </c>
      <c r="ADL182">
        <v>0</v>
      </c>
      <c r="ADM182">
        <v>0</v>
      </c>
      <c r="ADN182">
        <v>0</v>
      </c>
      <c r="ADO182">
        <v>0</v>
      </c>
      <c r="ADP182">
        <v>0</v>
      </c>
      <c r="ADQ182">
        <v>0</v>
      </c>
      <c r="ADR182">
        <v>0</v>
      </c>
      <c r="ADS182">
        <v>0</v>
      </c>
      <c r="ADT182">
        <v>0</v>
      </c>
      <c r="ADU182">
        <v>0</v>
      </c>
      <c r="ADV182">
        <v>0</v>
      </c>
      <c r="ADW182">
        <v>0</v>
      </c>
      <c r="ADX182">
        <v>0</v>
      </c>
      <c r="ADY182">
        <v>0</v>
      </c>
      <c r="ADZ182">
        <v>0</v>
      </c>
      <c r="AEA182">
        <v>0</v>
      </c>
      <c r="AEB182">
        <v>0</v>
      </c>
      <c r="AEC182">
        <v>0</v>
      </c>
      <c r="AED182">
        <v>0</v>
      </c>
      <c r="AEE182">
        <v>0</v>
      </c>
      <c r="AEF182">
        <v>0</v>
      </c>
      <c r="AEG182">
        <v>0</v>
      </c>
      <c r="AEH182">
        <v>0</v>
      </c>
      <c r="AEI182">
        <v>0</v>
      </c>
      <c r="AEJ182">
        <v>0</v>
      </c>
      <c r="AEK182">
        <v>0</v>
      </c>
      <c r="AEL182">
        <v>0</v>
      </c>
      <c r="AEM182">
        <v>0</v>
      </c>
      <c r="AEN182">
        <v>0</v>
      </c>
      <c r="AEO182">
        <v>0</v>
      </c>
      <c r="AEP182">
        <v>0</v>
      </c>
      <c r="AEQ182">
        <v>0</v>
      </c>
      <c r="AER182">
        <v>0</v>
      </c>
      <c r="AES182">
        <v>0</v>
      </c>
      <c r="AET182">
        <v>0</v>
      </c>
      <c r="AEU182">
        <v>0</v>
      </c>
      <c r="AEV182">
        <v>0</v>
      </c>
      <c r="AEW182">
        <v>0</v>
      </c>
      <c r="AEX182">
        <v>0</v>
      </c>
      <c r="AEY182">
        <v>0</v>
      </c>
      <c r="AEZ182">
        <v>0</v>
      </c>
      <c r="AFA182">
        <v>0</v>
      </c>
      <c r="AFB182">
        <v>0</v>
      </c>
      <c r="AFC182">
        <v>0</v>
      </c>
      <c r="AFD182">
        <v>0</v>
      </c>
      <c r="AFE182">
        <v>0</v>
      </c>
      <c r="AFF182">
        <v>0</v>
      </c>
      <c r="AFG182">
        <v>0</v>
      </c>
      <c r="AFH182">
        <v>0</v>
      </c>
      <c r="AFI182">
        <v>0</v>
      </c>
      <c r="AFJ182">
        <v>0</v>
      </c>
      <c r="AFK182">
        <v>0</v>
      </c>
      <c r="AFL182">
        <v>0</v>
      </c>
      <c r="AFM182">
        <v>0</v>
      </c>
      <c r="AFN182">
        <v>0</v>
      </c>
      <c r="AFO182">
        <v>0</v>
      </c>
      <c r="AFP182">
        <v>0</v>
      </c>
      <c r="AFQ182">
        <v>0</v>
      </c>
      <c r="AFR182">
        <v>0</v>
      </c>
      <c r="AFS182">
        <v>0</v>
      </c>
      <c r="AFT182">
        <v>0</v>
      </c>
      <c r="AFU182">
        <v>0</v>
      </c>
      <c r="AFV182">
        <v>0</v>
      </c>
      <c r="AFW182">
        <v>0</v>
      </c>
      <c r="AFX182">
        <v>0</v>
      </c>
      <c r="AFY182">
        <v>0</v>
      </c>
      <c r="AFZ182">
        <v>0</v>
      </c>
      <c r="AGA182">
        <v>0</v>
      </c>
      <c r="AGB182">
        <v>0</v>
      </c>
      <c r="AGC182">
        <v>0</v>
      </c>
      <c r="AGD182">
        <v>0</v>
      </c>
      <c r="AGE182">
        <v>0</v>
      </c>
      <c r="AGF182">
        <v>0</v>
      </c>
      <c r="AGG182">
        <v>0</v>
      </c>
      <c r="AGH182">
        <v>0</v>
      </c>
      <c r="AGI182">
        <v>0</v>
      </c>
      <c r="AGJ182">
        <v>0</v>
      </c>
      <c r="AGK182">
        <v>0</v>
      </c>
      <c r="AGL182">
        <v>0</v>
      </c>
      <c r="AGM182">
        <v>0</v>
      </c>
      <c r="AGN182">
        <v>0</v>
      </c>
      <c r="AGO182">
        <v>0</v>
      </c>
      <c r="AGP182">
        <v>0</v>
      </c>
      <c r="AGQ182">
        <v>0</v>
      </c>
      <c r="AGR182">
        <v>0</v>
      </c>
      <c r="AGS182">
        <v>0</v>
      </c>
      <c r="AGT182">
        <v>0</v>
      </c>
      <c r="AGU182">
        <v>0</v>
      </c>
      <c r="AGV182">
        <v>0</v>
      </c>
      <c r="AGW182">
        <v>0</v>
      </c>
      <c r="AGX182">
        <v>0</v>
      </c>
      <c r="AGY182">
        <v>0</v>
      </c>
      <c r="AGZ182">
        <v>0</v>
      </c>
      <c r="AHA182">
        <v>0</v>
      </c>
      <c r="AHB182">
        <v>0</v>
      </c>
      <c r="AHC182">
        <v>0</v>
      </c>
      <c r="AHD182">
        <v>0</v>
      </c>
      <c r="AHE182">
        <v>0</v>
      </c>
      <c r="AHF182">
        <v>0</v>
      </c>
      <c r="AHG182">
        <v>0</v>
      </c>
      <c r="AHH182">
        <v>0</v>
      </c>
      <c r="AHI182">
        <v>0</v>
      </c>
      <c r="AHJ182">
        <v>0</v>
      </c>
      <c r="AHK182">
        <v>0</v>
      </c>
      <c r="AHL182">
        <v>0</v>
      </c>
      <c r="AHM182">
        <v>0</v>
      </c>
      <c r="AHN182">
        <v>0</v>
      </c>
      <c r="AHO182">
        <v>0</v>
      </c>
      <c r="AHP182">
        <v>0</v>
      </c>
      <c r="AHQ182">
        <v>0</v>
      </c>
      <c r="AHR182">
        <v>0</v>
      </c>
      <c r="AHS182">
        <v>0</v>
      </c>
      <c r="AHT182">
        <v>0</v>
      </c>
      <c r="AHU182">
        <v>0</v>
      </c>
      <c r="AHV182">
        <v>0</v>
      </c>
      <c r="AHW182">
        <v>0</v>
      </c>
      <c r="AHX182">
        <v>0</v>
      </c>
      <c r="AHY182">
        <v>0</v>
      </c>
      <c r="AHZ182">
        <v>0</v>
      </c>
      <c r="AIA182">
        <v>0</v>
      </c>
      <c r="AIB182">
        <v>0</v>
      </c>
      <c r="AIC182">
        <v>0</v>
      </c>
      <c r="AID182">
        <v>0</v>
      </c>
      <c r="AIE182">
        <v>0</v>
      </c>
      <c r="AIF182">
        <v>0</v>
      </c>
      <c r="AIG182">
        <v>0</v>
      </c>
      <c r="AIH182">
        <v>0</v>
      </c>
      <c r="AII182">
        <v>0</v>
      </c>
      <c r="AIJ182">
        <v>0</v>
      </c>
      <c r="AIK182">
        <v>0</v>
      </c>
      <c r="AIL182">
        <v>0</v>
      </c>
      <c r="AIM182">
        <v>0</v>
      </c>
      <c r="AIN182">
        <v>0</v>
      </c>
      <c r="AIO182">
        <v>0</v>
      </c>
      <c r="AIP182">
        <v>0</v>
      </c>
      <c r="AIQ182">
        <v>0</v>
      </c>
      <c r="AIR182">
        <v>0</v>
      </c>
      <c r="AIS182">
        <v>0</v>
      </c>
      <c r="AIT182">
        <v>0</v>
      </c>
      <c r="AIU182">
        <v>0</v>
      </c>
      <c r="AIV182">
        <v>0</v>
      </c>
      <c r="AIW182">
        <v>0</v>
      </c>
      <c r="AIX182">
        <v>0</v>
      </c>
      <c r="AIY182">
        <v>0</v>
      </c>
      <c r="AIZ182">
        <v>0</v>
      </c>
      <c r="AJA182">
        <v>0</v>
      </c>
      <c r="AJB182">
        <v>0</v>
      </c>
      <c r="AJC182">
        <v>0</v>
      </c>
      <c r="AJD182">
        <v>0</v>
      </c>
      <c r="AJE182">
        <v>0</v>
      </c>
      <c r="AJF182">
        <v>0</v>
      </c>
      <c r="AJG182">
        <v>0</v>
      </c>
      <c r="AJH182">
        <v>0</v>
      </c>
      <c r="AJI182">
        <v>0</v>
      </c>
      <c r="AJJ182">
        <v>0</v>
      </c>
      <c r="AJK182">
        <v>0</v>
      </c>
      <c r="AJL182">
        <v>0</v>
      </c>
      <c r="AJM182">
        <v>0</v>
      </c>
      <c r="AJN182">
        <v>0</v>
      </c>
      <c r="AJO182">
        <v>0</v>
      </c>
      <c r="AJP182">
        <v>0</v>
      </c>
      <c r="AJQ182">
        <v>0</v>
      </c>
      <c r="AJR182">
        <v>0</v>
      </c>
      <c r="AJS182">
        <v>0</v>
      </c>
      <c r="AJT182">
        <v>0</v>
      </c>
      <c r="AJU182">
        <v>0</v>
      </c>
      <c r="AJV182">
        <v>0</v>
      </c>
      <c r="AJW182">
        <v>0</v>
      </c>
      <c r="AJX182">
        <v>0</v>
      </c>
      <c r="AJY182">
        <v>0</v>
      </c>
      <c r="AJZ182">
        <v>0</v>
      </c>
      <c r="AKA182">
        <v>0</v>
      </c>
      <c r="AKB182">
        <v>0</v>
      </c>
      <c r="AKC182">
        <v>0</v>
      </c>
      <c r="AKD182">
        <v>0</v>
      </c>
      <c r="AKE182">
        <v>0</v>
      </c>
      <c r="AKF182">
        <v>0</v>
      </c>
      <c r="AKG182">
        <v>0</v>
      </c>
      <c r="AKH182">
        <v>0</v>
      </c>
      <c r="AKI182">
        <v>0</v>
      </c>
      <c r="AKJ182">
        <v>0</v>
      </c>
      <c r="AKK182">
        <v>0</v>
      </c>
      <c r="AKL182">
        <v>0</v>
      </c>
      <c r="AKM182">
        <v>0</v>
      </c>
      <c r="AKN182">
        <v>0</v>
      </c>
      <c r="AKO182">
        <v>0</v>
      </c>
      <c r="AKP182">
        <v>0</v>
      </c>
      <c r="AKQ182">
        <v>0</v>
      </c>
      <c r="AKR182">
        <v>0</v>
      </c>
      <c r="AKS182">
        <v>0</v>
      </c>
      <c r="AKT182">
        <v>0</v>
      </c>
      <c r="AKU182">
        <v>0</v>
      </c>
      <c r="AKV182">
        <v>0</v>
      </c>
      <c r="AKW182">
        <v>0</v>
      </c>
      <c r="AKX182">
        <v>0</v>
      </c>
      <c r="AKY182">
        <v>0</v>
      </c>
      <c r="AKZ182">
        <v>0</v>
      </c>
      <c r="ALA182">
        <v>0</v>
      </c>
      <c r="ALB182">
        <v>0</v>
      </c>
      <c r="ALC182">
        <v>0</v>
      </c>
      <c r="ALD182">
        <v>0</v>
      </c>
      <c r="ALE182">
        <v>0</v>
      </c>
      <c r="ALF182">
        <v>0</v>
      </c>
      <c r="ALG182">
        <v>0</v>
      </c>
      <c r="ALH182">
        <v>0</v>
      </c>
      <c r="ALI182">
        <v>0</v>
      </c>
      <c r="ALJ182">
        <v>0</v>
      </c>
      <c r="ALK182">
        <v>0</v>
      </c>
      <c r="ALL182">
        <v>0</v>
      </c>
      <c r="ALM182">
        <v>0</v>
      </c>
      <c r="ALN182">
        <v>0</v>
      </c>
      <c r="ALO182">
        <v>0</v>
      </c>
      <c r="ALP182">
        <v>0</v>
      </c>
      <c r="ALQ182">
        <v>0</v>
      </c>
      <c r="ALR182">
        <v>0</v>
      </c>
      <c r="ALS182">
        <v>0</v>
      </c>
      <c r="ALT182">
        <v>0</v>
      </c>
      <c r="ALU182">
        <v>0</v>
      </c>
      <c r="ALV182">
        <v>0</v>
      </c>
      <c r="ALW182">
        <v>0</v>
      </c>
      <c r="ALX182">
        <v>0</v>
      </c>
      <c r="ALY182">
        <v>0</v>
      </c>
      <c r="ALZ182">
        <v>0</v>
      </c>
      <c r="AMA182">
        <v>0</v>
      </c>
      <c r="AMB182">
        <v>0</v>
      </c>
      <c r="AMC182">
        <v>0</v>
      </c>
      <c r="AMD182">
        <v>0</v>
      </c>
      <c r="AME182">
        <v>0</v>
      </c>
      <c r="AMF182">
        <v>0</v>
      </c>
      <c r="AMG182">
        <v>0</v>
      </c>
      <c r="AMH182">
        <v>0</v>
      </c>
      <c r="AMI182">
        <v>0</v>
      </c>
      <c r="AMJ182">
        <v>0</v>
      </c>
      <c r="AMK182">
        <v>0</v>
      </c>
      <c r="AML182">
        <v>0</v>
      </c>
      <c r="AMM182">
        <v>0</v>
      </c>
      <c r="AMN182">
        <v>0</v>
      </c>
      <c r="AMO182">
        <v>0</v>
      </c>
      <c r="AMP182">
        <v>0</v>
      </c>
      <c r="AMQ182">
        <v>0</v>
      </c>
      <c r="AMR182">
        <v>0</v>
      </c>
      <c r="AMS182">
        <v>0</v>
      </c>
      <c r="AMT182">
        <v>0</v>
      </c>
      <c r="AMU182">
        <v>0</v>
      </c>
      <c r="AMV182">
        <v>0</v>
      </c>
      <c r="AMW182">
        <v>0</v>
      </c>
      <c r="AMX182">
        <v>0</v>
      </c>
      <c r="AMY182">
        <v>0</v>
      </c>
      <c r="AMZ182">
        <v>0</v>
      </c>
      <c r="ANA182">
        <v>0</v>
      </c>
      <c r="ANB182">
        <v>0</v>
      </c>
      <c r="ANC182">
        <v>0</v>
      </c>
      <c r="AND182">
        <v>0</v>
      </c>
      <c r="ANE182">
        <v>0</v>
      </c>
      <c r="ANF182">
        <v>0</v>
      </c>
      <c r="ANG182">
        <v>0</v>
      </c>
      <c r="ANH182">
        <v>0</v>
      </c>
      <c r="ANI182">
        <v>0</v>
      </c>
      <c r="ANJ182">
        <v>0</v>
      </c>
      <c r="ANK182">
        <v>0</v>
      </c>
      <c r="ANL182">
        <v>0</v>
      </c>
      <c r="ANM182">
        <v>0</v>
      </c>
      <c r="ANN182">
        <v>0</v>
      </c>
      <c r="ANO182">
        <v>0</v>
      </c>
      <c r="ANP182">
        <v>0</v>
      </c>
      <c r="ANQ182">
        <v>0</v>
      </c>
      <c r="ANR182">
        <v>0</v>
      </c>
      <c r="ANS182">
        <v>0</v>
      </c>
      <c r="ANT182">
        <v>0</v>
      </c>
      <c r="ANU182">
        <v>0</v>
      </c>
      <c r="ANV182">
        <v>0</v>
      </c>
      <c r="ANW182">
        <v>0</v>
      </c>
      <c r="ANX182">
        <v>0</v>
      </c>
      <c r="ANY182">
        <v>0</v>
      </c>
      <c r="ANZ182">
        <v>0</v>
      </c>
      <c r="AOA182">
        <v>0</v>
      </c>
      <c r="AOB182">
        <v>0</v>
      </c>
      <c r="AOC182">
        <v>0</v>
      </c>
      <c r="AOD182">
        <v>0</v>
      </c>
      <c r="AOE182">
        <v>0</v>
      </c>
      <c r="AOF182">
        <v>0</v>
      </c>
      <c r="AOG182">
        <v>0</v>
      </c>
      <c r="AOH182">
        <v>0</v>
      </c>
      <c r="AOI182">
        <v>0</v>
      </c>
      <c r="AOJ182">
        <v>0</v>
      </c>
      <c r="AOK182">
        <v>0</v>
      </c>
      <c r="AOL182">
        <v>0</v>
      </c>
      <c r="AOM182">
        <v>0</v>
      </c>
      <c r="AON182">
        <v>0</v>
      </c>
      <c r="AOO182">
        <v>0</v>
      </c>
      <c r="AOP182">
        <v>0</v>
      </c>
      <c r="AOQ182">
        <v>0</v>
      </c>
      <c r="AOR182">
        <v>0</v>
      </c>
      <c r="AOS182">
        <v>0</v>
      </c>
      <c r="AOT182">
        <v>0</v>
      </c>
      <c r="AOU182">
        <v>0</v>
      </c>
      <c r="AOV182">
        <v>0</v>
      </c>
      <c r="AOW182">
        <v>0</v>
      </c>
      <c r="AOX182">
        <v>0</v>
      </c>
      <c r="AOY182">
        <v>0</v>
      </c>
      <c r="AOZ182">
        <v>0</v>
      </c>
      <c r="APA182">
        <v>0</v>
      </c>
      <c r="APB182">
        <v>0</v>
      </c>
      <c r="APC182">
        <v>0</v>
      </c>
      <c r="APD182">
        <v>0</v>
      </c>
      <c r="APE182">
        <v>0</v>
      </c>
      <c r="APF182">
        <v>0</v>
      </c>
      <c r="APG182">
        <v>0</v>
      </c>
      <c r="APH182">
        <v>0</v>
      </c>
      <c r="API182">
        <v>0</v>
      </c>
      <c r="APJ182">
        <v>0</v>
      </c>
      <c r="APK182">
        <v>0</v>
      </c>
      <c r="APL182">
        <v>0</v>
      </c>
      <c r="APM182">
        <v>0</v>
      </c>
      <c r="APN182">
        <v>0</v>
      </c>
      <c r="APO182">
        <v>0</v>
      </c>
      <c r="APP182">
        <v>0</v>
      </c>
      <c r="APQ182">
        <v>0</v>
      </c>
      <c r="APR182">
        <v>0</v>
      </c>
      <c r="APS182">
        <v>0</v>
      </c>
      <c r="APT182">
        <v>0</v>
      </c>
      <c r="APU182">
        <v>0</v>
      </c>
      <c r="APV182">
        <v>0</v>
      </c>
      <c r="APW182">
        <v>0</v>
      </c>
      <c r="APX182">
        <v>0</v>
      </c>
      <c r="APY182">
        <v>0</v>
      </c>
      <c r="APZ182">
        <v>0</v>
      </c>
      <c r="AQA182">
        <v>0</v>
      </c>
      <c r="AQB182">
        <v>0</v>
      </c>
      <c r="AQC182">
        <v>0</v>
      </c>
      <c r="AQD182">
        <v>0</v>
      </c>
      <c r="AQE182">
        <v>0</v>
      </c>
      <c r="AQF182">
        <v>0</v>
      </c>
      <c r="AQG182">
        <v>0</v>
      </c>
      <c r="AQH182">
        <v>0</v>
      </c>
      <c r="AQI182">
        <v>0</v>
      </c>
      <c r="AQJ182">
        <v>0</v>
      </c>
      <c r="AQK182">
        <v>0</v>
      </c>
      <c r="AQL182">
        <v>0</v>
      </c>
      <c r="AQM182">
        <v>0</v>
      </c>
      <c r="AQN182">
        <v>0</v>
      </c>
      <c r="AQO182">
        <v>0</v>
      </c>
      <c r="AQP182">
        <v>0</v>
      </c>
      <c r="AQQ182">
        <v>0</v>
      </c>
      <c r="AQR182">
        <v>0</v>
      </c>
      <c r="AQS182">
        <v>0</v>
      </c>
      <c r="AQT182">
        <v>0</v>
      </c>
      <c r="AQU182">
        <v>0</v>
      </c>
      <c r="AQV182">
        <v>0</v>
      </c>
      <c r="AQW182">
        <v>0</v>
      </c>
      <c r="AQX182">
        <v>0</v>
      </c>
      <c r="AQY182">
        <v>0</v>
      </c>
      <c r="AQZ182">
        <v>0</v>
      </c>
      <c r="ARA182">
        <v>0</v>
      </c>
      <c r="ARB182">
        <v>0</v>
      </c>
      <c r="ARC182">
        <v>0</v>
      </c>
      <c r="ARD182">
        <v>0</v>
      </c>
      <c r="ARE182">
        <v>0</v>
      </c>
      <c r="ARF182">
        <v>0</v>
      </c>
      <c r="ARG182">
        <v>0</v>
      </c>
      <c r="ARH182">
        <v>0</v>
      </c>
      <c r="ARI182">
        <v>0</v>
      </c>
      <c r="ARJ182">
        <v>0</v>
      </c>
      <c r="ARK182">
        <v>0</v>
      </c>
      <c r="ARL182">
        <v>0</v>
      </c>
      <c r="ARM182">
        <v>0</v>
      </c>
      <c r="ARN182">
        <v>0</v>
      </c>
      <c r="ARO182">
        <v>0</v>
      </c>
      <c r="ARP182">
        <v>0</v>
      </c>
      <c r="ARQ182">
        <v>0</v>
      </c>
      <c r="ARR182">
        <v>0</v>
      </c>
      <c r="ARS182">
        <v>0</v>
      </c>
      <c r="ART182">
        <v>0</v>
      </c>
      <c r="ARU182">
        <v>0</v>
      </c>
      <c r="ARV182">
        <v>0</v>
      </c>
      <c r="ARW182">
        <v>0</v>
      </c>
      <c r="ARX182">
        <v>0</v>
      </c>
      <c r="ARY182">
        <v>0</v>
      </c>
      <c r="ARZ182">
        <v>0</v>
      </c>
      <c r="ASA182">
        <v>0</v>
      </c>
      <c r="ASB182">
        <v>0</v>
      </c>
      <c r="ASC182">
        <v>0</v>
      </c>
      <c r="ASD182">
        <v>0</v>
      </c>
      <c r="ASE182">
        <v>0</v>
      </c>
      <c r="ASF182">
        <v>0</v>
      </c>
      <c r="ASG182">
        <v>0</v>
      </c>
      <c r="ASH182">
        <v>0</v>
      </c>
      <c r="ASI182">
        <v>0</v>
      </c>
      <c r="ASJ182">
        <v>0</v>
      </c>
      <c r="ASK182">
        <v>0</v>
      </c>
      <c r="ASL182">
        <v>0</v>
      </c>
      <c r="ASM182">
        <v>0</v>
      </c>
      <c r="ASN182">
        <v>0</v>
      </c>
      <c r="ASO182">
        <v>0</v>
      </c>
      <c r="ASP182">
        <v>0</v>
      </c>
      <c r="ASQ182">
        <v>0</v>
      </c>
      <c r="ASR182">
        <v>0</v>
      </c>
      <c r="ASS182">
        <v>0</v>
      </c>
      <c r="AST182">
        <v>0</v>
      </c>
      <c r="ASU182">
        <v>0</v>
      </c>
      <c r="ASV182">
        <v>0</v>
      </c>
      <c r="ASW182">
        <v>0</v>
      </c>
      <c r="ASX182">
        <v>0</v>
      </c>
      <c r="ASY182">
        <v>0</v>
      </c>
      <c r="ASZ182">
        <v>0</v>
      </c>
      <c r="ATA182">
        <v>0</v>
      </c>
      <c r="ATB182">
        <v>0</v>
      </c>
      <c r="ATC182">
        <v>0</v>
      </c>
      <c r="ATD182">
        <v>0</v>
      </c>
      <c r="ATE182">
        <v>0</v>
      </c>
      <c r="ATF182">
        <v>0</v>
      </c>
      <c r="ATG182">
        <v>0</v>
      </c>
      <c r="ATH182">
        <v>0</v>
      </c>
      <c r="ATI182">
        <v>0</v>
      </c>
      <c r="ATJ182">
        <v>0</v>
      </c>
      <c r="ATK182">
        <v>0</v>
      </c>
      <c r="ATL182">
        <v>0</v>
      </c>
      <c r="ATM182">
        <v>0</v>
      </c>
      <c r="ATN182">
        <v>0</v>
      </c>
      <c r="ATO182">
        <v>0</v>
      </c>
      <c r="ATP182">
        <v>0</v>
      </c>
      <c r="ATQ182">
        <v>0</v>
      </c>
      <c r="ATR182">
        <v>0</v>
      </c>
      <c r="ATS182">
        <v>0</v>
      </c>
      <c r="ATT182">
        <v>0</v>
      </c>
      <c r="ATU182">
        <v>0</v>
      </c>
      <c r="ATV182">
        <v>0</v>
      </c>
      <c r="ATW182">
        <v>0</v>
      </c>
      <c r="ATX182">
        <v>0</v>
      </c>
      <c r="ATY182">
        <v>0</v>
      </c>
      <c r="ATZ182">
        <v>0</v>
      </c>
      <c r="AUA182">
        <v>0</v>
      </c>
      <c r="AUB182">
        <v>0</v>
      </c>
      <c r="AUC182">
        <v>0</v>
      </c>
      <c r="AUD182">
        <v>0</v>
      </c>
      <c r="AUE182">
        <v>0</v>
      </c>
      <c r="AUF182">
        <v>0</v>
      </c>
      <c r="AUG182">
        <v>0</v>
      </c>
      <c r="AUH182">
        <v>0</v>
      </c>
      <c r="AUI182">
        <v>0</v>
      </c>
      <c r="AUJ182">
        <v>0</v>
      </c>
      <c r="AUK182">
        <v>0</v>
      </c>
      <c r="AUL182">
        <v>0</v>
      </c>
      <c r="AUM182">
        <v>0</v>
      </c>
      <c r="AUN182">
        <v>0</v>
      </c>
      <c r="AUO182">
        <v>0</v>
      </c>
      <c r="AUP182">
        <v>0</v>
      </c>
      <c r="AUQ182">
        <v>0</v>
      </c>
      <c r="AUR182">
        <v>0</v>
      </c>
      <c r="AUS182">
        <v>0</v>
      </c>
      <c r="AUT182">
        <v>0</v>
      </c>
      <c r="AUU182">
        <v>0</v>
      </c>
      <c r="AUV182">
        <v>0</v>
      </c>
      <c r="AUW182">
        <v>0</v>
      </c>
      <c r="AUX182">
        <v>0</v>
      </c>
      <c r="AUY182">
        <v>0</v>
      </c>
      <c r="AUZ182">
        <v>0</v>
      </c>
      <c r="AVA182">
        <v>0</v>
      </c>
      <c r="AVB182">
        <v>0</v>
      </c>
      <c r="AVC182">
        <v>0</v>
      </c>
      <c r="AVD182">
        <v>0</v>
      </c>
      <c r="AVE182">
        <v>0</v>
      </c>
      <c r="AVF182">
        <v>0</v>
      </c>
      <c r="AVG182">
        <v>0</v>
      </c>
      <c r="AVH182">
        <v>0</v>
      </c>
      <c r="AVI182">
        <v>0</v>
      </c>
      <c r="AVJ182">
        <v>0</v>
      </c>
      <c r="AVK182">
        <v>0</v>
      </c>
      <c r="AVL182">
        <v>0</v>
      </c>
      <c r="AVM182">
        <v>0</v>
      </c>
      <c r="AVN182">
        <v>0</v>
      </c>
      <c r="AVO182">
        <v>0</v>
      </c>
      <c r="AVP182">
        <v>0</v>
      </c>
      <c r="AVQ182">
        <v>0</v>
      </c>
      <c r="AVR182">
        <v>0</v>
      </c>
      <c r="AVS182">
        <v>0</v>
      </c>
      <c r="AVT182">
        <v>0</v>
      </c>
      <c r="AVU182">
        <v>0</v>
      </c>
      <c r="AVV182">
        <v>0</v>
      </c>
      <c r="AVW182">
        <v>0</v>
      </c>
      <c r="AVX182">
        <v>0</v>
      </c>
      <c r="AVY182">
        <v>0</v>
      </c>
      <c r="AVZ182">
        <v>0</v>
      </c>
      <c r="AWA182">
        <v>0</v>
      </c>
      <c r="AWB182">
        <v>0</v>
      </c>
      <c r="AWC182">
        <v>0</v>
      </c>
      <c r="AWD182">
        <v>0</v>
      </c>
      <c r="AWE182">
        <v>0</v>
      </c>
      <c r="AWF182">
        <v>0</v>
      </c>
      <c r="AWG182">
        <v>0</v>
      </c>
      <c r="AWH182">
        <v>0</v>
      </c>
      <c r="AWI182">
        <v>0</v>
      </c>
      <c r="AWJ182">
        <v>0</v>
      </c>
      <c r="AWK182">
        <v>0</v>
      </c>
      <c r="AWL182">
        <v>0</v>
      </c>
      <c r="AWM182">
        <v>0</v>
      </c>
      <c r="AWN182">
        <v>0</v>
      </c>
      <c r="AWO182">
        <v>0</v>
      </c>
      <c r="AWP182">
        <v>0</v>
      </c>
      <c r="AWQ182">
        <v>0</v>
      </c>
      <c r="AWR182">
        <v>0</v>
      </c>
      <c r="AWS182">
        <v>0</v>
      </c>
      <c r="AWT182">
        <v>0</v>
      </c>
      <c r="AWU182">
        <v>0</v>
      </c>
      <c r="AWV182">
        <v>0</v>
      </c>
      <c r="AWW182">
        <v>0</v>
      </c>
      <c r="AWX182">
        <v>0</v>
      </c>
      <c r="AWY182">
        <v>0</v>
      </c>
      <c r="AWZ182">
        <v>0</v>
      </c>
      <c r="AXA182">
        <v>0</v>
      </c>
      <c r="AXB182">
        <v>0</v>
      </c>
      <c r="AXC182">
        <v>0</v>
      </c>
      <c r="AXD182">
        <v>0</v>
      </c>
      <c r="AXE182">
        <v>0</v>
      </c>
      <c r="AXF182">
        <v>0</v>
      </c>
      <c r="AXG182">
        <v>0</v>
      </c>
      <c r="AXH182">
        <v>0</v>
      </c>
      <c r="AXI182">
        <v>0</v>
      </c>
      <c r="AXJ182">
        <v>0</v>
      </c>
      <c r="AXK182">
        <v>0</v>
      </c>
      <c r="AXL182">
        <v>0</v>
      </c>
      <c r="AXM182">
        <v>0</v>
      </c>
      <c r="AXN182">
        <v>0</v>
      </c>
      <c r="AXO182">
        <v>0</v>
      </c>
      <c r="AXP182">
        <v>0</v>
      </c>
      <c r="AXQ182">
        <v>0</v>
      </c>
      <c r="AXR182">
        <v>0</v>
      </c>
      <c r="AXS182">
        <v>0</v>
      </c>
      <c r="AXT182">
        <v>0</v>
      </c>
      <c r="AXU182">
        <v>0</v>
      </c>
      <c r="AXV182">
        <v>0</v>
      </c>
      <c r="AXW182">
        <v>0</v>
      </c>
      <c r="AXX182">
        <v>0</v>
      </c>
      <c r="AXY182">
        <v>0</v>
      </c>
      <c r="AXZ182">
        <v>0</v>
      </c>
      <c r="AYA182">
        <v>0</v>
      </c>
      <c r="AYB182">
        <v>0</v>
      </c>
      <c r="AYC182">
        <v>0</v>
      </c>
      <c r="AYD182">
        <v>0</v>
      </c>
      <c r="AYE182">
        <v>0</v>
      </c>
      <c r="AYF182">
        <v>0</v>
      </c>
      <c r="AYG182">
        <v>0</v>
      </c>
      <c r="AYH182">
        <v>0</v>
      </c>
      <c r="AYI182">
        <v>0</v>
      </c>
      <c r="AYJ182">
        <v>0</v>
      </c>
      <c r="AYK182">
        <v>0</v>
      </c>
      <c r="AYL182">
        <v>0</v>
      </c>
      <c r="AYM182">
        <v>0</v>
      </c>
      <c r="AYN182">
        <v>0</v>
      </c>
      <c r="AYO182">
        <v>0</v>
      </c>
      <c r="AYP182">
        <v>0</v>
      </c>
      <c r="AYQ182">
        <v>0</v>
      </c>
      <c r="AYR182">
        <v>0</v>
      </c>
      <c r="AYS182">
        <v>0</v>
      </c>
      <c r="AYT182">
        <v>0</v>
      </c>
      <c r="AYU182">
        <v>0</v>
      </c>
      <c r="AYV182">
        <v>0</v>
      </c>
      <c r="AYW182">
        <v>0</v>
      </c>
      <c r="AYX182">
        <v>0</v>
      </c>
      <c r="AYY182">
        <v>0</v>
      </c>
      <c r="AYZ182">
        <v>0</v>
      </c>
      <c r="AZA182">
        <v>0</v>
      </c>
      <c r="AZB182">
        <v>0</v>
      </c>
      <c r="AZC182">
        <v>0</v>
      </c>
      <c r="AZD182">
        <v>0</v>
      </c>
      <c r="AZE182">
        <v>0</v>
      </c>
      <c r="AZF182">
        <v>0</v>
      </c>
      <c r="AZG182">
        <v>0</v>
      </c>
      <c r="AZH182">
        <v>0</v>
      </c>
      <c r="AZI182">
        <v>0</v>
      </c>
      <c r="AZJ182">
        <v>0</v>
      </c>
      <c r="AZK182">
        <v>0</v>
      </c>
      <c r="AZL182">
        <v>0</v>
      </c>
      <c r="AZM182">
        <v>0</v>
      </c>
      <c r="AZN182">
        <v>0</v>
      </c>
      <c r="AZO182">
        <v>0</v>
      </c>
      <c r="AZP182">
        <v>0</v>
      </c>
      <c r="AZQ182">
        <v>0</v>
      </c>
      <c r="AZR182">
        <v>0</v>
      </c>
      <c r="AZS182">
        <v>0</v>
      </c>
      <c r="AZT182">
        <v>0</v>
      </c>
      <c r="AZU182">
        <v>0</v>
      </c>
      <c r="AZV182">
        <v>0</v>
      </c>
      <c r="AZW182">
        <v>0</v>
      </c>
      <c r="AZX182">
        <v>0</v>
      </c>
      <c r="AZY182">
        <v>0</v>
      </c>
      <c r="AZZ182">
        <v>0</v>
      </c>
      <c r="BAA182">
        <v>0</v>
      </c>
      <c r="BAB182">
        <v>0</v>
      </c>
      <c r="BAC182">
        <v>0</v>
      </c>
      <c r="BAD182">
        <v>0</v>
      </c>
      <c r="BAE182">
        <v>0</v>
      </c>
      <c r="BAF182">
        <v>0</v>
      </c>
      <c r="BAG182">
        <v>0</v>
      </c>
      <c r="BAH182">
        <v>0</v>
      </c>
      <c r="BAI182">
        <v>0</v>
      </c>
      <c r="BAJ182">
        <v>0</v>
      </c>
      <c r="BAK182">
        <v>0</v>
      </c>
      <c r="BAL182">
        <v>0</v>
      </c>
      <c r="BAM182">
        <v>0</v>
      </c>
      <c r="BAN182">
        <v>0</v>
      </c>
      <c r="BAO182">
        <v>0</v>
      </c>
      <c r="BAP182">
        <v>0</v>
      </c>
      <c r="BAQ182">
        <v>0</v>
      </c>
      <c r="BAR182">
        <v>0</v>
      </c>
      <c r="BAS182">
        <v>0</v>
      </c>
      <c r="BAT182">
        <v>0</v>
      </c>
      <c r="BAU182">
        <v>0</v>
      </c>
      <c r="BAV182">
        <v>0</v>
      </c>
      <c r="BAW182">
        <v>0</v>
      </c>
      <c r="BAX182">
        <v>0</v>
      </c>
      <c r="BAY182">
        <v>0</v>
      </c>
      <c r="BAZ182">
        <v>0</v>
      </c>
      <c r="BBA182">
        <v>0</v>
      </c>
      <c r="BBB182">
        <v>0</v>
      </c>
      <c r="BBC182">
        <v>0</v>
      </c>
      <c r="BBD182">
        <v>0</v>
      </c>
      <c r="BBE182">
        <v>0</v>
      </c>
      <c r="BBF182">
        <v>0</v>
      </c>
      <c r="BBG182">
        <v>0</v>
      </c>
      <c r="BBH182">
        <v>0</v>
      </c>
      <c r="BBI182">
        <v>0</v>
      </c>
      <c r="BBJ182">
        <v>0</v>
      </c>
      <c r="BBK182">
        <v>0</v>
      </c>
      <c r="BBL182">
        <v>0</v>
      </c>
      <c r="BBM182">
        <v>0</v>
      </c>
      <c r="BBN182">
        <v>0</v>
      </c>
      <c r="BBO182">
        <v>0</v>
      </c>
      <c r="BBP182">
        <v>0</v>
      </c>
      <c r="BBQ182">
        <v>0</v>
      </c>
      <c r="BBR182">
        <v>0</v>
      </c>
      <c r="BBS182">
        <v>0</v>
      </c>
      <c r="BBT182">
        <v>0</v>
      </c>
      <c r="BBU182">
        <v>0</v>
      </c>
      <c r="BBV182">
        <v>0</v>
      </c>
      <c r="BBW182">
        <v>0</v>
      </c>
      <c r="BBX182">
        <v>0</v>
      </c>
      <c r="BBY182">
        <v>0</v>
      </c>
      <c r="BBZ182">
        <v>0</v>
      </c>
      <c r="BCA182">
        <v>0</v>
      </c>
      <c r="BCB182">
        <v>0</v>
      </c>
      <c r="BCC182">
        <v>0</v>
      </c>
      <c r="BCD182">
        <v>0</v>
      </c>
      <c r="BCE182">
        <v>0</v>
      </c>
      <c r="BCF182">
        <v>0</v>
      </c>
      <c r="BCG182">
        <v>0</v>
      </c>
      <c r="BCH182">
        <v>0</v>
      </c>
      <c r="BCI182">
        <v>0</v>
      </c>
      <c r="BCJ182">
        <v>0</v>
      </c>
      <c r="BCK182">
        <v>0</v>
      </c>
      <c r="BCL182">
        <v>0</v>
      </c>
      <c r="BCM182">
        <v>0</v>
      </c>
      <c r="BCN182">
        <v>0</v>
      </c>
      <c r="BCO182">
        <v>0</v>
      </c>
      <c r="BCP182">
        <v>0</v>
      </c>
      <c r="BCQ182">
        <v>0</v>
      </c>
      <c r="BCR182">
        <v>0</v>
      </c>
      <c r="BCS182">
        <v>0</v>
      </c>
      <c r="BCT182">
        <v>0</v>
      </c>
      <c r="BCU182">
        <v>0</v>
      </c>
      <c r="BCV182">
        <v>0</v>
      </c>
      <c r="BCW182">
        <v>0</v>
      </c>
      <c r="BCX182">
        <v>0</v>
      </c>
      <c r="BCY182">
        <v>0</v>
      </c>
      <c r="BCZ182">
        <v>0</v>
      </c>
      <c r="BDA182">
        <v>0</v>
      </c>
      <c r="BDB182">
        <v>0</v>
      </c>
      <c r="BDC182">
        <v>0</v>
      </c>
      <c r="BDD182">
        <v>0</v>
      </c>
      <c r="BDE182">
        <v>0</v>
      </c>
      <c r="BDF182">
        <v>0</v>
      </c>
      <c r="BDG182">
        <v>0</v>
      </c>
      <c r="BDH182">
        <v>0</v>
      </c>
      <c r="BDI182">
        <v>0</v>
      </c>
      <c r="BDJ182">
        <v>0</v>
      </c>
      <c r="BDK182">
        <v>0</v>
      </c>
      <c r="BDL182">
        <v>0</v>
      </c>
      <c r="BDM182">
        <v>0</v>
      </c>
      <c r="BDN182">
        <v>0</v>
      </c>
      <c r="BDO182">
        <v>0</v>
      </c>
      <c r="BDP182">
        <v>0</v>
      </c>
      <c r="BDQ182">
        <v>0</v>
      </c>
      <c r="BDR182">
        <v>0</v>
      </c>
      <c r="BDS182">
        <v>0</v>
      </c>
      <c r="BDT182">
        <v>0</v>
      </c>
      <c r="BDU182">
        <v>0</v>
      </c>
      <c r="BDV182">
        <v>0</v>
      </c>
      <c r="BDW182">
        <v>0</v>
      </c>
      <c r="BDX182">
        <v>0</v>
      </c>
      <c r="BDY182">
        <v>0</v>
      </c>
      <c r="BDZ182">
        <v>0</v>
      </c>
      <c r="BEA182">
        <v>0</v>
      </c>
      <c r="BEB182">
        <v>0</v>
      </c>
      <c r="BEC182">
        <v>0</v>
      </c>
      <c r="BED182">
        <v>0</v>
      </c>
      <c r="BEE182">
        <v>0</v>
      </c>
      <c r="BEF182">
        <v>0</v>
      </c>
      <c r="BEG182">
        <v>0</v>
      </c>
      <c r="BEH182">
        <v>0</v>
      </c>
      <c r="BEI182">
        <v>0</v>
      </c>
      <c r="BEJ182">
        <v>0</v>
      </c>
      <c r="BEK182">
        <v>0</v>
      </c>
      <c r="BEL182">
        <v>0</v>
      </c>
      <c r="BEM182">
        <v>0</v>
      </c>
      <c r="BEN182">
        <v>0</v>
      </c>
      <c r="BEO182">
        <v>0</v>
      </c>
      <c r="BEP182">
        <v>0</v>
      </c>
      <c r="BEQ182">
        <v>0</v>
      </c>
      <c r="BER182">
        <v>0</v>
      </c>
      <c r="BES182">
        <v>0</v>
      </c>
      <c r="BET182">
        <v>0</v>
      </c>
      <c r="BEU182">
        <v>0</v>
      </c>
      <c r="BEV182">
        <v>0</v>
      </c>
      <c r="BEW182">
        <v>0</v>
      </c>
      <c r="BEX182">
        <v>0</v>
      </c>
      <c r="BEY182">
        <v>0</v>
      </c>
      <c r="BEZ182">
        <v>0</v>
      </c>
      <c r="BFA182">
        <v>0</v>
      </c>
      <c r="BFB182">
        <v>0</v>
      </c>
      <c r="BFC182">
        <v>0</v>
      </c>
      <c r="BFD182">
        <v>0</v>
      </c>
      <c r="BFE182">
        <v>0</v>
      </c>
      <c r="BFF182">
        <v>0</v>
      </c>
      <c r="BFG182">
        <v>0</v>
      </c>
      <c r="BFH182">
        <v>0</v>
      </c>
      <c r="BFI182">
        <v>0</v>
      </c>
      <c r="BFJ182">
        <v>0</v>
      </c>
      <c r="BFK182">
        <v>0</v>
      </c>
      <c r="BFL182">
        <v>0</v>
      </c>
      <c r="BFM182">
        <v>0</v>
      </c>
      <c r="BFN182">
        <v>0</v>
      </c>
      <c r="BFO182">
        <v>0</v>
      </c>
      <c r="BFP182">
        <v>0</v>
      </c>
      <c r="BFQ182">
        <v>0</v>
      </c>
      <c r="BFR182">
        <v>0</v>
      </c>
      <c r="BFS182">
        <v>0</v>
      </c>
      <c r="BFT182">
        <v>0</v>
      </c>
      <c r="BFU182">
        <v>0</v>
      </c>
      <c r="BFV182">
        <v>0</v>
      </c>
      <c r="BFW182">
        <v>0</v>
      </c>
      <c r="BFX182">
        <v>0</v>
      </c>
      <c r="BFY182">
        <v>0</v>
      </c>
      <c r="BFZ182">
        <v>0</v>
      </c>
      <c r="BGA182">
        <v>0</v>
      </c>
      <c r="BGB182">
        <v>0</v>
      </c>
      <c r="BGC182">
        <v>0</v>
      </c>
      <c r="BGD182">
        <v>0</v>
      </c>
      <c r="BGE182">
        <v>0</v>
      </c>
      <c r="BGF182">
        <v>0</v>
      </c>
      <c r="BGG182">
        <v>0</v>
      </c>
      <c r="BGH182">
        <v>0</v>
      </c>
      <c r="BGI182">
        <v>0</v>
      </c>
      <c r="BGJ182">
        <v>0</v>
      </c>
      <c r="BGK182">
        <v>0</v>
      </c>
      <c r="BGL182">
        <v>0</v>
      </c>
      <c r="BGM182">
        <v>0</v>
      </c>
      <c r="BGN182">
        <v>0</v>
      </c>
      <c r="BGO182">
        <v>0</v>
      </c>
      <c r="BGP182">
        <v>0</v>
      </c>
      <c r="BGQ182">
        <v>0</v>
      </c>
      <c r="BGR182">
        <v>0</v>
      </c>
      <c r="BGS182">
        <v>0</v>
      </c>
      <c r="BGT182">
        <v>0</v>
      </c>
      <c r="BGU182">
        <v>0</v>
      </c>
      <c r="BGV182">
        <v>0</v>
      </c>
      <c r="BGW182">
        <v>0</v>
      </c>
      <c r="BGX182">
        <v>0</v>
      </c>
      <c r="BGY182">
        <v>0</v>
      </c>
      <c r="BGZ182">
        <v>0</v>
      </c>
      <c r="BHA182">
        <v>0</v>
      </c>
      <c r="BHB182">
        <v>0</v>
      </c>
      <c r="BHC182">
        <v>0</v>
      </c>
      <c r="BHD182">
        <v>0</v>
      </c>
      <c r="BHE182">
        <v>0</v>
      </c>
      <c r="BHF182">
        <v>0</v>
      </c>
      <c r="BHG182">
        <v>0</v>
      </c>
      <c r="BHH182">
        <v>0</v>
      </c>
      <c r="BHI182">
        <v>0</v>
      </c>
      <c r="BHJ182">
        <v>0</v>
      </c>
      <c r="BHK182">
        <v>0</v>
      </c>
      <c r="BHL182">
        <v>0</v>
      </c>
      <c r="BHM182">
        <v>0</v>
      </c>
      <c r="BHN182">
        <v>0</v>
      </c>
      <c r="BHO182">
        <v>0</v>
      </c>
      <c r="BHP182">
        <v>0</v>
      </c>
      <c r="BHQ182">
        <v>0</v>
      </c>
      <c r="BHR182">
        <v>0</v>
      </c>
      <c r="BHS182">
        <v>0</v>
      </c>
      <c r="BHT182">
        <v>0</v>
      </c>
      <c r="BHU182">
        <v>0</v>
      </c>
      <c r="BHV182">
        <v>0</v>
      </c>
      <c r="BHW182">
        <v>0</v>
      </c>
      <c r="BHX182">
        <v>0</v>
      </c>
      <c r="BHY182">
        <v>0</v>
      </c>
      <c r="BHZ182">
        <v>0</v>
      </c>
      <c r="BIA182">
        <v>0</v>
      </c>
      <c r="BIB182">
        <v>0</v>
      </c>
      <c r="BIC182">
        <v>0</v>
      </c>
      <c r="BID182">
        <v>0</v>
      </c>
      <c r="BIE182">
        <v>0</v>
      </c>
      <c r="BIF182">
        <v>0</v>
      </c>
      <c r="BIG182">
        <v>0</v>
      </c>
      <c r="BIH182">
        <v>0</v>
      </c>
      <c r="BII182">
        <v>0</v>
      </c>
      <c r="BIJ182">
        <v>0</v>
      </c>
      <c r="BIK182">
        <v>0</v>
      </c>
      <c r="BIL182">
        <v>0</v>
      </c>
      <c r="BIM182">
        <v>0</v>
      </c>
      <c r="BIN182">
        <v>0</v>
      </c>
      <c r="BIO182">
        <v>0</v>
      </c>
      <c r="BIP182">
        <v>0</v>
      </c>
      <c r="BIQ182">
        <v>0</v>
      </c>
      <c r="BIR182">
        <v>0</v>
      </c>
      <c r="BIS182">
        <v>0</v>
      </c>
      <c r="BIT182">
        <v>0</v>
      </c>
      <c r="BIU182">
        <v>0</v>
      </c>
      <c r="BIV182">
        <v>0</v>
      </c>
      <c r="BIW182">
        <v>0</v>
      </c>
      <c r="BIX182">
        <v>0</v>
      </c>
      <c r="BIY182">
        <v>0</v>
      </c>
      <c r="BIZ182">
        <v>0</v>
      </c>
      <c r="BJA182">
        <v>0</v>
      </c>
      <c r="BJB182">
        <v>0</v>
      </c>
      <c r="BJC182">
        <v>0</v>
      </c>
      <c r="BJD182">
        <v>0</v>
      </c>
      <c r="BJE182">
        <v>0</v>
      </c>
      <c r="BJF182">
        <v>0</v>
      </c>
      <c r="BJG182">
        <v>0</v>
      </c>
      <c r="BJH182">
        <v>0</v>
      </c>
      <c r="BJI182">
        <v>0</v>
      </c>
      <c r="BJJ182">
        <v>0</v>
      </c>
      <c r="BJK182">
        <v>0</v>
      </c>
      <c r="BJL182">
        <v>0</v>
      </c>
      <c r="BJM182">
        <v>0</v>
      </c>
      <c r="BJN182">
        <v>0</v>
      </c>
      <c r="BJO182">
        <v>0</v>
      </c>
      <c r="BJP182">
        <v>0</v>
      </c>
      <c r="BJQ182">
        <v>0</v>
      </c>
      <c r="BJR182">
        <v>0</v>
      </c>
      <c r="BJS182">
        <v>0</v>
      </c>
      <c r="BJT182">
        <v>0</v>
      </c>
      <c r="BJU182">
        <v>0</v>
      </c>
      <c r="BJV182">
        <v>0</v>
      </c>
      <c r="BJW182">
        <v>0</v>
      </c>
      <c r="BJX182">
        <v>0</v>
      </c>
      <c r="BJY182">
        <v>0</v>
      </c>
      <c r="BJZ182">
        <v>0</v>
      </c>
      <c r="BKA182">
        <v>0</v>
      </c>
      <c r="BKB182">
        <v>0</v>
      </c>
      <c r="BKC182">
        <v>0</v>
      </c>
      <c r="BKD182">
        <v>0</v>
      </c>
      <c r="BKE182">
        <v>0</v>
      </c>
      <c r="BKF182">
        <v>0</v>
      </c>
      <c r="BKG182">
        <v>0</v>
      </c>
      <c r="BKH182">
        <v>0</v>
      </c>
      <c r="BKI182">
        <v>0</v>
      </c>
      <c r="BKJ182">
        <v>0</v>
      </c>
      <c r="BKK182">
        <v>0</v>
      </c>
      <c r="BKL182">
        <v>0</v>
      </c>
      <c r="BKM182">
        <v>0</v>
      </c>
      <c r="BKN182">
        <v>0</v>
      </c>
      <c r="BKO182">
        <v>0</v>
      </c>
      <c r="BKP182">
        <v>0</v>
      </c>
      <c r="BKQ182">
        <v>0</v>
      </c>
      <c r="BKR182">
        <v>0</v>
      </c>
      <c r="BKS182">
        <v>0</v>
      </c>
      <c r="BKT182">
        <v>0</v>
      </c>
      <c r="BKU182">
        <v>0</v>
      </c>
      <c r="BKV182">
        <v>0</v>
      </c>
      <c r="BKW182">
        <v>0</v>
      </c>
      <c r="BKX182">
        <v>0</v>
      </c>
      <c r="BKY182">
        <v>0</v>
      </c>
      <c r="BKZ182">
        <v>0</v>
      </c>
      <c r="BLA182">
        <v>0</v>
      </c>
      <c r="BLB182">
        <v>0</v>
      </c>
      <c r="BLC182">
        <v>0</v>
      </c>
      <c r="BLD182">
        <v>0</v>
      </c>
      <c r="BLE182">
        <v>0</v>
      </c>
      <c r="BLF182">
        <v>0</v>
      </c>
      <c r="BLG182">
        <v>0</v>
      </c>
      <c r="BLH182">
        <v>0</v>
      </c>
      <c r="BLI182">
        <v>0</v>
      </c>
      <c r="BLJ182">
        <v>0</v>
      </c>
      <c r="BLK182">
        <v>0</v>
      </c>
      <c r="BLL182">
        <v>0</v>
      </c>
      <c r="BLM182">
        <v>0</v>
      </c>
      <c r="BLN182">
        <v>0</v>
      </c>
      <c r="BLO182">
        <v>0</v>
      </c>
      <c r="BLP182">
        <v>0</v>
      </c>
      <c r="BLQ182">
        <v>0</v>
      </c>
      <c r="BLR182">
        <v>0</v>
      </c>
      <c r="BLS182">
        <v>0</v>
      </c>
      <c r="BLT182">
        <v>0</v>
      </c>
      <c r="BLU182">
        <v>0</v>
      </c>
      <c r="BLV182">
        <v>0</v>
      </c>
      <c r="BLW182">
        <v>0</v>
      </c>
      <c r="BLX182">
        <v>0</v>
      </c>
      <c r="BLY182">
        <v>0</v>
      </c>
      <c r="BLZ182">
        <v>0</v>
      </c>
      <c r="BMA182">
        <v>0</v>
      </c>
      <c r="BMB182">
        <v>0</v>
      </c>
      <c r="BMC182">
        <v>0</v>
      </c>
      <c r="BMD182">
        <v>0</v>
      </c>
      <c r="BME182">
        <v>0</v>
      </c>
      <c r="BMF182">
        <v>0</v>
      </c>
      <c r="BMG182">
        <v>0</v>
      </c>
      <c r="BMH182">
        <v>0</v>
      </c>
    </row>
    <row r="183" spans="1:1698" x14ac:dyDescent="0.2">
      <c r="A183" s="3">
        <v>46250</v>
      </c>
      <c r="B183" s="2"/>
      <c r="C183">
        <f t="shared" si="3"/>
        <v>30</v>
      </c>
    </row>
    <row r="184" spans="1:1698" x14ac:dyDescent="0.2">
      <c r="A184" s="3">
        <v>46251</v>
      </c>
      <c r="B184" s="2"/>
      <c r="C184">
        <f t="shared" si="3"/>
        <v>30</v>
      </c>
    </row>
    <row r="185" spans="1:1698" x14ac:dyDescent="0.2">
      <c r="A185" s="3">
        <v>46252</v>
      </c>
      <c r="B185" s="2"/>
      <c r="C185">
        <f t="shared" si="3"/>
        <v>30</v>
      </c>
      <c r="AB185" t="e" vm="2">
        <f ca="1">"{" &amp; _xlfn.TEXTJOIN(",", TRUE, AA2:AA250) &amp; "}"</f>
        <v>#VALUE!</v>
      </c>
    </row>
    <row r="186" spans="1:1698" x14ac:dyDescent="0.2">
      <c r="A186" s="3">
        <v>46253</v>
      </c>
      <c r="B186" s="2"/>
      <c r="C186">
        <f t="shared" si="3"/>
        <v>30</v>
      </c>
    </row>
    <row r="187" spans="1:1698" x14ac:dyDescent="0.2">
      <c r="A187" s="3">
        <v>46254</v>
      </c>
      <c r="B187" s="2"/>
      <c r="C187">
        <f t="shared" si="3"/>
        <v>30</v>
      </c>
    </row>
    <row r="188" spans="1:1698" x14ac:dyDescent="0.2">
      <c r="A188" s="3">
        <v>46255</v>
      </c>
      <c r="B188" s="2"/>
      <c r="C188">
        <f t="shared" si="3"/>
        <v>30</v>
      </c>
    </row>
    <row r="189" spans="1:1698" x14ac:dyDescent="0.2">
      <c r="A189" s="3">
        <v>46256</v>
      </c>
      <c r="B189" s="2"/>
      <c r="C189">
        <f t="shared" si="3"/>
        <v>30</v>
      </c>
    </row>
    <row r="190" spans="1:1698" x14ac:dyDescent="0.2">
      <c r="A190" s="3">
        <v>46257</v>
      </c>
      <c r="B190" s="2"/>
      <c r="C190">
        <f t="shared" si="3"/>
        <v>30</v>
      </c>
    </row>
    <row r="191" spans="1:1698" x14ac:dyDescent="0.2">
      <c r="A191" s="3">
        <v>46258</v>
      </c>
      <c r="B191" s="2"/>
      <c r="C191">
        <f t="shared" si="3"/>
        <v>30</v>
      </c>
    </row>
    <row r="192" spans="1:1698" x14ac:dyDescent="0.2">
      <c r="A192" s="3">
        <v>46259</v>
      </c>
      <c r="B192" s="2"/>
      <c r="C192">
        <f t="shared" si="3"/>
        <v>30</v>
      </c>
    </row>
    <row r="193" spans="1:3" x14ac:dyDescent="0.2">
      <c r="A193" s="3">
        <v>46260</v>
      </c>
      <c r="B193" s="2"/>
      <c r="C193">
        <f t="shared" si="3"/>
        <v>30</v>
      </c>
    </row>
    <row r="194" spans="1:3" x14ac:dyDescent="0.2">
      <c r="A194" s="3">
        <v>46261</v>
      </c>
      <c r="B194" s="2"/>
      <c r="C194">
        <f t="shared" si="3"/>
        <v>30</v>
      </c>
    </row>
    <row r="195" spans="1:3" x14ac:dyDescent="0.2">
      <c r="A195" s="3">
        <v>46262</v>
      </c>
      <c r="B195" s="2"/>
      <c r="C195">
        <f t="shared" si="3"/>
        <v>30</v>
      </c>
    </row>
    <row r="196" spans="1:3" x14ac:dyDescent="0.2">
      <c r="A196" s="3">
        <v>46263</v>
      </c>
      <c r="B196" s="2"/>
      <c r="C196">
        <f t="shared" si="3"/>
        <v>30</v>
      </c>
    </row>
    <row r="197" spans="1:3" x14ac:dyDescent="0.2">
      <c r="A197" s="3">
        <v>46264</v>
      </c>
      <c r="B197" s="1"/>
      <c r="C197">
        <f t="shared" si="3"/>
        <v>30</v>
      </c>
    </row>
    <row r="198" spans="1:3" x14ac:dyDescent="0.2">
      <c r="A198" s="3">
        <v>46265</v>
      </c>
      <c r="B198" s="1"/>
      <c r="C198">
        <f t="shared" si="3"/>
        <v>30</v>
      </c>
    </row>
    <row r="199" spans="1:3" x14ac:dyDescent="0.2">
      <c r="A199" s="3">
        <v>46266</v>
      </c>
      <c r="B199" s="2"/>
      <c r="C199">
        <f t="shared" si="3"/>
        <v>30</v>
      </c>
    </row>
    <row r="200" spans="1:3" x14ac:dyDescent="0.2">
      <c r="A200" s="3">
        <v>46267</v>
      </c>
      <c r="B200" s="2"/>
      <c r="C200">
        <f t="shared" si="3"/>
        <v>30</v>
      </c>
    </row>
    <row r="201" spans="1:3" x14ac:dyDescent="0.2">
      <c r="A201" s="3">
        <v>46268</v>
      </c>
      <c r="B201" s="2"/>
      <c r="C201">
        <f t="shared" si="3"/>
        <v>30</v>
      </c>
    </row>
    <row r="202" spans="1:3" x14ac:dyDescent="0.2">
      <c r="A202" s="3">
        <v>46269</v>
      </c>
      <c r="B202" s="2"/>
      <c r="C202">
        <f t="shared" si="3"/>
        <v>30</v>
      </c>
    </row>
    <row r="203" spans="1:3" x14ac:dyDescent="0.2">
      <c r="A203" s="3">
        <v>46270</v>
      </c>
      <c r="B203" s="2"/>
      <c r="C203">
        <f t="shared" si="3"/>
        <v>30</v>
      </c>
    </row>
    <row r="204" spans="1:3" x14ac:dyDescent="0.2">
      <c r="A204" s="3">
        <v>46271</v>
      </c>
      <c r="B204" s="2"/>
      <c r="C204">
        <f t="shared" si="3"/>
        <v>30</v>
      </c>
    </row>
    <row r="205" spans="1:3" x14ac:dyDescent="0.2">
      <c r="A205" s="3">
        <v>46272</v>
      </c>
      <c r="B205" s="2"/>
      <c r="C205">
        <f t="shared" si="3"/>
        <v>30</v>
      </c>
    </row>
    <row r="206" spans="1:3" x14ac:dyDescent="0.2">
      <c r="A206" s="3">
        <v>46273</v>
      </c>
      <c r="B206" s="2"/>
      <c r="C206">
        <f t="shared" si="3"/>
        <v>30</v>
      </c>
    </row>
    <row r="207" spans="1:3" x14ac:dyDescent="0.2">
      <c r="A207" s="3">
        <v>46274</v>
      </c>
      <c r="B207" s="2"/>
      <c r="C207">
        <f t="shared" si="3"/>
        <v>30</v>
      </c>
    </row>
    <row r="208" spans="1:3" x14ac:dyDescent="0.2">
      <c r="A208" s="3">
        <v>46275</v>
      </c>
      <c r="B208" s="2"/>
      <c r="C208">
        <f t="shared" si="3"/>
        <v>30</v>
      </c>
    </row>
    <row r="209" spans="1:3" x14ac:dyDescent="0.2">
      <c r="A209" s="3">
        <v>46276</v>
      </c>
      <c r="B209" s="2"/>
      <c r="C209">
        <f t="shared" si="3"/>
        <v>30</v>
      </c>
    </row>
    <row r="210" spans="1:3" x14ac:dyDescent="0.2">
      <c r="A210" s="3">
        <v>46277</v>
      </c>
      <c r="B210" s="2"/>
      <c r="C210">
        <f t="shared" si="3"/>
        <v>30</v>
      </c>
    </row>
    <row r="211" spans="1:3" x14ac:dyDescent="0.2">
      <c r="A211" s="3">
        <v>46278</v>
      </c>
      <c r="B211" s="2"/>
      <c r="C211">
        <f t="shared" si="3"/>
        <v>30</v>
      </c>
    </row>
    <row r="212" spans="1:3" x14ac:dyDescent="0.2">
      <c r="A212" s="3">
        <v>46279</v>
      </c>
      <c r="B212" s="2"/>
      <c r="C212">
        <f t="shared" si="3"/>
        <v>30</v>
      </c>
    </row>
    <row r="213" spans="1:3" x14ac:dyDescent="0.2">
      <c r="A213" s="3">
        <v>46280</v>
      </c>
      <c r="B213" s="2"/>
      <c r="C213">
        <f t="shared" si="3"/>
        <v>30</v>
      </c>
    </row>
    <row r="214" spans="1:3" x14ac:dyDescent="0.2">
      <c r="A214" s="3">
        <v>46281</v>
      </c>
      <c r="B214" s="2"/>
      <c r="C214">
        <f t="shared" si="3"/>
        <v>30</v>
      </c>
    </row>
    <row r="215" spans="1:3" x14ac:dyDescent="0.2">
      <c r="A215" s="3">
        <v>46282</v>
      </c>
      <c r="B215" s="2"/>
      <c r="C215">
        <f t="shared" si="3"/>
        <v>30</v>
      </c>
    </row>
    <row r="216" spans="1:3" x14ac:dyDescent="0.2">
      <c r="A216" s="3">
        <v>46283</v>
      </c>
      <c r="B216" s="2"/>
      <c r="C216">
        <f t="shared" si="3"/>
        <v>30</v>
      </c>
    </row>
    <row r="217" spans="1:3" x14ac:dyDescent="0.2">
      <c r="A217" s="3">
        <v>46284</v>
      </c>
      <c r="B217" s="2"/>
      <c r="C217">
        <f t="shared" si="3"/>
        <v>30</v>
      </c>
    </row>
    <row r="218" spans="1:3" x14ac:dyDescent="0.2">
      <c r="A218" s="3">
        <v>46285</v>
      </c>
      <c r="B218" s="2"/>
      <c r="C218">
        <f t="shared" si="3"/>
        <v>30</v>
      </c>
    </row>
    <row r="219" spans="1:3" x14ac:dyDescent="0.2">
      <c r="A219" s="3">
        <v>46286</v>
      </c>
      <c r="B219" s="2"/>
      <c r="C219">
        <f t="shared" si="3"/>
        <v>30</v>
      </c>
    </row>
    <row r="220" spans="1:3" x14ac:dyDescent="0.2">
      <c r="A220" s="3">
        <v>46287</v>
      </c>
      <c r="B220" s="2"/>
      <c r="C220">
        <f t="shared" si="3"/>
        <v>30</v>
      </c>
    </row>
    <row r="221" spans="1:3" x14ac:dyDescent="0.2">
      <c r="A221" s="3">
        <v>46288</v>
      </c>
      <c r="B221" s="2"/>
      <c r="C221">
        <f t="shared" si="3"/>
        <v>30</v>
      </c>
    </row>
    <row r="222" spans="1:3" x14ac:dyDescent="0.2">
      <c r="A222" s="3">
        <v>46289</v>
      </c>
      <c r="B222" s="2"/>
      <c r="C222">
        <f t="shared" si="3"/>
        <v>30</v>
      </c>
    </row>
    <row r="223" spans="1:3" x14ac:dyDescent="0.2">
      <c r="A223" s="3">
        <v>46290</v>
      </c>
      <c r="B223" s="2"/>
      <c r="C223">
        <f t="shared" si="3"/>
        <v>30</v>
      </c>
    </row>
    <row r="224" spans="1:3" x14ac:dyDescent="0.2">
      <c r="A224" s="3">
        <v>46291</v>
      </c>
      <c r="B224" s="2"/>
      <c r="C224">
        <f t="shared" ref="C224:C287" si="4">MATCH(B224, $D$1:$D$195, 0)-1</f>
        <v>30</v>
      </c>
    </row>
    <row r="225" spans="1:3" x14ac:dyDescent="0.2">
      <c r="A225" s="3">
        <v>46292</v>
      </c>
      <c r="B225" s="1"/>
      <c r="C225">
        <f t="shared" si="4"/>
        <v>30</v>
      </c>
    </row>
    <row r="226" spans="1:3" x14ac:dyDescent="0.2">
      <c r="A226" s="3">
        <v>46293</v>
      </c>
      <c r="B226" s="1"/>
      <c r="C226">
        <f t="shared" si="4"/>
        <v>30</v>
      </c>
    </row>
    <row r="227" spans="1:3" x14ac:dyDescent="0.2">
      <c r="A227" s="3">
        <v>46294</v>
      </c>
      <c r="B227" s="1"/>
      <c r="C227">
        <f t="shared" si="4"/>
        <v>30</v>
      </c>
    </row>
    <row r="228" spans="1:3" x14ac:dyDescent="0.2">
      <c r="A228" s="3">
        <v>46295</v>
      </c>
      <c r="B228" s="1"/>
      <c r="C228">
        <f t="shared" si="4"/>
        <v>30</v>
      </c>
    </row>
    <row r="229" spans="1:3" x14ac:dyDescent="0.2">
      <c r="A229" s="3">
        <v>46296</v>
      </c>
      <c r="B229" s="1"/>
      <c r="C229">
        <f t="shared" si="4"/>
        <v>30</v>
      </c>
    </row>
    <row r="230" spans="1:3" x14ac:dyDescent="0.2">
      <c r="A230" s="3">
        <v>46297</v>
      </c>
      <c r="B230" s="1"/>
      <c r="C230">
        <f t="shared" si="4"/>
        <v>30</v>
      </c>
    </row>
    <row r="231" spans="1:3" x14ac:dyDescent="0.2">
      <c r="A231" s="3">
        <v>46298</v>
      </c>
      <c r="B231" s="1"/>
      <c r="C231">
        <f t="shared" si="4"/>
        <v>30</v>
      </c>
    </row>
    <row r="232" spans="1:3" x14ac:dyDescent="0.2">
      <c r="A232" s="3">
        <v>46299</v>
      </c>
      <c r="B232" s="1"/>
      <c r="C232">
        <f t="shared" si="4"/>
        <v>30</v>
      </c>
    </row>
    <row r="233" spans="1:3" x14ac:dyDescent="0.2">
      <c r="A233" s="3">
        <v>46300</v>
      </c>
      <c r="B233" s="1"/>
      <c r="C233">
        <f t="shared" si="4"/>
        <v>30</v>
      </c>
    </row>
    <row r="234" spans="1:3" x14ac:dyDescent="0.2">
      <c r="A234" s="3">
        <v>46301</v>
      </c>
      <c r="B234" s="1"/>
      <c r="C234">
        <f t="shared" si="4"/>
        <v>30</v>
      </c>
    </row>
    <row r="235" spans="1:3" x14ac:dyDescent="0.2">
      <c r="A235" s="3">
        <v>46302</v>
      </c>
      <c r="B235" s="1"/>
      <c r="C235">
        <f t="shared" si="4"/>
        <v>30</v>
      </c>
    </row>
    <row r="236" spans="1:3" x14ac:dyDescent="0.2">
      <c r="A236" s="3">
        <v>46303</v>
      </c>
      <c r="B236" s="1"/>
      <c r="C236">
        <f t="shared" si="4"/>
        <v>30</v>
      </c>
    </row>
    <row r="237" spans="1:3" x14ac:dyDescent="0.2">
      <c r="A237" s="3">
        <v>46304</v>
      </c>
      <c r="B237" s="1"/>
      <c r="C237">
        <f t="shared" si="4"/>
        <v>30</v>
      </c>
    </row>
    <row r="238" spans="1:3" x14ac:dyDescent="0.2">
      <c r="A238" s="3">
        <v>46305</v>
      </c>
      <c r="B238" s="1"/>
      <c r="C238">
        <f t="shared" si="4"/>
        <v>30</v>
      </c>
    </row>
    <row r="239" spans="1:3" x14ac:dyDescent="0.2">
      <c r="A239" s="3">
        <v>46306</v>
      </c>
      <c r="B239" s="1"/>
      <c r="C239">
        <f t="shared" si="4"/>
        <v>30</v>
      </c>
    </row>
    <row r="240" spans="1:3" x14ac:dyDescent="0.2">
      <c r="A240" s="3">
        <v>46307</v>
      </c>
      <c r="B240" s="1"/>
      <c r="C240">
        <f t="shared" si="4"/>
        <v>30</v>
      </c>
    </row>
    <row r="241" spans="1:3" x14ac:dyDescent="0.2">
      <c r="A241" s="3">
        <v>46308</v>
      </c>
      <c r="B241" s="1"/>
      <c r="C241">
        <f t="shared" si="4"/>
        <v>30</v>
      </c>
    </row>
    <row r="242" spans="1:3" x14ac:dyDescent="0.2">
      <c r="A242" s="3">
        <v>46309</v>
      </c>
      <c r="B242" s="1"/>
      <c r="C242">
        <f t="shared" si="4"/>
        <v>30</v>
      </c>
    </row>
    <row r="243" spans="1:3" x14ac:dyDescent="0.2">
      <c r="A243" s="3">
        <v>46310</v>
      </c>
      <c r="B243" s="1"/>
      <c r="C243">
        <f t="shared" si="4"/>
        <v>30</v>
      </c>
    </row>
    <row r="244" spans="1:3" x14ac:dyDescent="0.2">
      <c r="A244" s="3">
        <v>46311</v>
      </c>
      <c r="B244" s="1"/>
      <c r="C244">
        <f t="shared" si="4"/>
        <v>30</v>
      </c>
    </row>
    <row r="245" spans="1:3" x14ac:dyDescent="0.2">
      <c r="A245" s="3">
        <v>46312</v>
      </c>
      <c r="B245" s="1"/>
      <c r="C245">
        <f t="shared" si="4"/>
        <v>30</v>
      </c>
    </row>
    <row r="246" spans="1:3" x14ac:dyDescent="0.2">
      <c r="A246" s="3">
        <v>46313</v>
      </c>
      <c r="B246" s="1"/>
      <c r="C246">
        <f t="shared" si="4"/>
        <v>30</v>
      </c>
    </row>
    <row r="247" spans="1:3" x14ac:dyDescent="0.2">
      <c r="A247" s="3">
        <v>46314</v>
      </c>
      <c r="B247" s="1"/>
      <c r="C247">
        <f t="shared" si="4"/>
        <v>30</v>
      </c>
    </row>
    <row r="248" spans="1:3" x14ac:dyDescent="0.2">
      <c r="A248" s="3">
        <v>46315</v>
      </c>
      <c r="B248" s="1"/>
      <c r="C248">
        <f t="shared" si="4"/>
        <v>30</v>
      </c>
    </row>
    <row r="249" spans="1:3" x14ac:dyDescent="0.2">
      <c r="A249" s="3">
        <v>46316</v>
      </c>
      <c r="B249" s="1"/>
      <c r="C249">
        <f t="shared" si="4"/>
        <v>30</v>
      </c>
    </row>
    <row r="250" spans="1:3" x14ac:dyDescent="0.2">
      <c r="A250" s="3">
        <v>46317</v>
      </c>
      <c r="B250" s="1"/>
      <c r="C250">
        <f t="shared" si="4"/>
        <v>30</v>
      </c>
    </row>
    <row r="251" spans="1:3" x14ac:dyDescent="0.2">
      <c r="A251" s="3">
        <v>46318</v>
      </c>
      <c r="B251" s="1"/>
      <c r="C251">
        <f t="shared" si="4"/>
        <v>30</v>
      </c>
    </row>
    <row r="252" spans="1:3" x14ac:dyDescent="0.2">
      <c r="A252" s="3">
        <v>46319</v>
      </c>
      <c r="B252" s="1"/>
      <c r="C252">
        <f t="shared" si="4"/>
        <v>30</v>
      </c>
    </row>
    <row r="253" spans="1:3" x14ac:dyDescent="0.2">
      <c r="A253" s="3">
        <v>46320</v>
      </c>
      <c r="B253" s="1"/>
      <c r="C253">
        <f t="shared" si="4"/>
        <v>30</v>
      </c>
    </row>
    <row r="254" spans="1:3" x14ac:dyDescent="0.2">
      <c r="A254" s="3">
        <v>46321</v>
      </c>
      <c r="B254" s="1"/>
      <c r="C254">
        <f t="shared" si="4"/>
        <v>30</v>
      </c>
    </row>
    <row r="255" spans="1:3" x14ac:dyDescent="0.2">
      <c r="A255" s="3">
        <v>46322</v>
      </c>
      <c r="B255" s="1"/>
      <c r="C255">
        <f t="shared" si="4"/>
        <v>30</v>
      </c>
    </row>
    <row r="256" spans="1:3" x14ac:dyDescent="0.2">
      <c r="A256" s="3">
        <v>46323</v>
      </c>
      <c r="B256" s="1"/>
      <c r="C256">
        <f t="shared" si="4"/>
        <v>30</v>
      </c>
    </row>
    <row r="257" spans="1:3" x14ac:dyDescent="0.2">
      <c r="A257" s="3">
        <v>46324</v>
      </c>
      <c r="B257" s="1"/>
      <c r="C257">
        <f t="shared" si="4"/>
        <v>30</v>
      </c>
    </row>
    <row r="258" spans="1:3" x14ac:dyDescent="0.2">
      <c r="A258" s="3">
        <v>46325</v>
      </c>
      <c r="B258" s="1"/>
      <c r="C258">
        <f t="shared" si="4"/>
        <v>30</v>
      </c>
    </row>
    <row r="259" spans="1:3" x14ac:dyDescent="0.2">
      <c r="A259" s="3">
        <v>46326</v>
      </c>
      <c r="B259" s="1"/>
      <c r="C259">
        <f t="shared" si="4"/>
        <v>30</v>
      </c>
    </row>
    <row r="260" spans="1:3" x14ac:dyDescent="0.2">
      <c r="A260" s="3">
        <v>46327</v>
      </c>
      <c r="B260" s="2"/>
      <c r="C260">
        <f t="shared" si="4"/>
        <v>30</v>
      </c>
    </row>
    <row r="261" spans="1:3" x14ac:dyDescent="0.2">
      <c r="A261" s="3">
        <v>46328</v>
      </c>
      <c r="B261" s="2"/>
      <c r="C261">
        <f t="shared" si="4"/>
        <v>30</v>
      </c>
    </row>
    <row r="262" spans="1:3" x14ac:dyDescent="0.2">
      <c r="A262" s="3">
        <v>46329</v>
      </c>
      <c r="B262" s="2"/>
      <c r="C262">
        <f t="shared" si="4"/>
        <v>30</v>
      </c>
    </row>
    <row r="263" spans="1:3" x14ac:dyDescent="0.2">
      <c r="A263" s="3">
        <v>46330</v>
      </c>
      <c r="B263" s="2"/>
      <c r="C263">
        <f t="shared" si="4"/>
        <v>30</v>
      </c>
    </row>
    <row r="264" spans="1:3" x14ac:dyDescent="0.2">
      <c r="A264" s="3">
        <v>46331</v>
      </c>
      <c r="B264" s="2"/>
      <c r="C264">
        <f t="shared" si="4"/>
        <v>30</v>
      </c>
    </row>
    <row r="265" spans="1:3" x14ac:dyDescent="0.2">
      <c r="A265" s="3">
        <v>46332</v>
      </c>
      <c r="B265" s="2"/>
      <c r="C265">
        <f t="shared" si="4"/>
        <v>30</v>
      </c>
    </row>
    <row r="266" spans="1:3" x14ac:dyDescent="0.2">
      <c r="A266" s="3">
        <v>46333</v>
      </c>
      <c r="B266" s="2"/>
      <c r="C266">
        <f t="shared" si="4"/>
        <v>30</v>
      </c>
    </row>
    <row r="267" spans="1:3" x14ac:dyDescent="0.2">
      <c r="A267" s="3">
        <v>46334</v>
      </c>
      <c r="B267" s="2"/>
      <c r="C267">
        <f t="shared" si="4"/>
        <v>30</v>
      </c>
    </row>
    <row r="268" spans="1:3" x14ac:dyDescent="0.2">
      <c r="A268" s="3">
        <v>46335</v>
      </c>
      <c r="B268" s="2"/>
      <c r="C268">
        <f t="shared" si="4"/>
        <v>30</v>
      </c>
    </row>
    <row r="269" spans="1:3" x14ac:dyDescent="0.2">
      <c r="A269" s="3">
        <v>46336</v>
      </c>
      <c r="B269" s="2"/>
      <c r="C269">
        <f t="shared" si="4"/>
        <v>30</v>
      </c>
    </row>
    <row r="270" spans="1:3" x14ac:dyDescent="0.2">
      <c r="A270" s="3">
        <v>46337</v>
      </c>
      <c r="B270" s="2"/>
      <c r="C270">
        <f t="shared" si="4"/>
        <v>30</v>
      </c>
    </row>
    <row r="271" spans="1:3" x14ac:dyDescent="0.2">
      <c r="A271" s="3">
        <v>46338</v>
      </c>
      <c r="B271" s="2"/>
      <c r="C271">
        <f t="shared" si="4"/>
        <v>30</v>
      </c>
    </row>
    <row r="272" spans="1:3" x14ac:dyDescent="0.2">
      <c r="A272" s="3">
        <v>46339</v>
      </c>
      <c r="B272" s="2"/>
      <c r="C272">
        <f t="shared" si="4"/>
        <v>30</v>
      </c>
    </row>
    <row r="273" spans="1:3" x14ac:dyDescent="0.2">
      <c r="A273" s="3">
        <v>46340</v>
      </c>
      <c r="B273" s="2"/>
      <c r="C273">
        <f t="shared" si="4"/>
        <v>30</v>
      </c>
    </row>
    <row r="274" spans="1:3" x14ac:dyDescent="0.2">
      <c r="A274" s="3">
        <v>46341</v>
      </c>
      <c r="B274" s="2"/>
      <c r="C274">
        <f t="shared" si="4"/>
        <v>30</v>
      </c>
    </row>
    <row r="275" spans="1:3" x14ac:dyDescent="0.2">
      <c r="A275" s="3">
        <v>46342</v>
      </c>
      <c r="B275" s="2"/>
      <c r="C275">
        <f t="shared" si="4"/>
        <v>30</v>
      </c>
    </row>
    <row r="276" spans="1:3" x14ac:dyDescent="0.2">
      <c r="A276" s="3">
        <v>46343</v>
      </c>
      <c r="B276" s="2"/>
      <c r="C276">
        <f t="shared" si="4"/>
        <v>30</v>
      </c>
    </row>
    <row r="277" spans="1:3" x14ac:dyDescent="0.2">
      <c r="A277" s="3">
        <v>46344</v>
      </c>
      <c r="B277" s="2"/>
      <c r="C277">
        <f t="shared" si="4"/>
        <v>30</v>
      </c>
    </row>
    <row r="278" spans="1:3" x14ac:dyDescent="0.2">
      <c r="A278" s="3">
        <v>46345</v>
      </c>
      <c r="B278" s="2"/>
      <c r="C278">
        <f t="shared" si="4"/>
        <v>30</v>
      </c>
    </row>
    <row r="279" spans="1:3" x14ac:dyDescent="0.2">
      <c r="A279" s="3">
        <v>46346</v>
      </c>
      <c r="B279" s="2"/>
      <c r="C279">
        <f t="shared" si="4"/>
        <v>30</v>
      </c>
    </row>
    <row r="280" spans="1:3" x14ac:dyDescent="0.2">
      <c r="A280" s="3">
        <v>46347</v>
      </c>
      <c r="B280" s="2"/>
      <c r="C280">
        <f t="shared" si="4"/>
        <v>30</v>
      </c>
    </row>
    <row r="281" spans="1:3" x14ac:dyDescent="0.2">
      <c r="A281" s="3">
        <v>46348</v>
      </c>
      <c r="B281" s="2"/>
      <c r="C281">
        <f t="shared" si="4"/>
        <v>30</v>
      </c>
    </row>
    <row r="282" spans="1:3" x14ac:dyDescent="0.2">
      <c r="A282" s="3">
        <v>46349</v>
      </c>
      <c r="B282" s="2"/>
      <c r="C282">
        <f t="shared" si="4"/>
        <v>30</v>
      </c>
    </row>
    <row r="283" spans="1:3" x14ac:dyDescent="0.2">
      <c r="A283" s="3">
        <v>46350</v>
      </c>
      <c r="B283" s="2"/>
      <c r="C283">
        <f t="shared" si="4"/>
        <v>30</v>
      </c>
    </row>
    <row r="284" spans="1:3" x14ac:dyDescent="0.2">
      <c r="A284" s="3">
        <v>46351</v>
      </c>
      <c r="B284" s="2"/>
      <c r="C284">
        <f t="shared" si="4"/>
        <v>30</v>
      </c>
    </row>
    <row r="285" spans="1:3" x14ac:dyDescent="0.2">
      <c r="A285" s="3">
        <v>46352</v>
      </c>
      <c r="B285" s="2"/>
      <c r="C285">
        <f t="shared" si="4"/>
        <v>30</v>
      </c>
    </row>
    <row r="286" spans="1:3" x14ac:dyDescent="0.2">
      <c r="A286" s="3">
        <v>46353</v>
      </c>
      <c r="B286" s="2"/>
      <c r="C286">
        <f t="shared" si="4"/>
        <v>30</v>
      </c>
    </row>
    <row r="287" spans="1:3" x14ac:dyDescent="0.2">
      <c r="A287" s="3">
        <v>46354</v>
      </c>
      <c r="B287" s="2"/>
      <c r="C287">
        <f t="shared" si="4"/>
        <v>30</v>
      </c>
    </row>
    <row r="288" spans="1:3" x14ac:dyDescent="0.2">
      <c r="A288" s="3">
        <v>46355</v>
      </c>
      <c r="B288" s="1"/>
      <c r="C288">
        <f t="shared" ref="C288:C349" si="5">MATCH(B288, $D$1:$D$195, 0)-1</f>
        <v>30</v>
      </c>
    </row>
    <row r="289" spans="1:3" x14ac:dyDescent="0.2">
      <c r="A289" s="3">
        <v>46356</v>
      </c>
      <c r="B289" s="1"/>
      <c r="C289">
        <f t="shared" si="5"/>
        <v>30</v>
      </c>
    </row>
    <row r="290" spans="1:3" x14ac:dyDescent="0.2">
      <c r="A290" s="3">
        <v>46357</v>
      </c>
      <c r="B290" s="2"/>
      <c r="C290">
        <f t="shared" si="5"/>
        <v>30</v>
      </c>
    </row>
    <row r="291" spans="1:3" x14ac:dyDescent="0.2">
      <c r="A291" s="3">
        <v>46358</v>
      </c>
      <c r="B291" s="2"/>
      <c r="C291">
        <f t="shared" si="5"/>
        <v>30</v>
      </c>
    </row>
    <row r="292" spans="1:3" x14ac:dyDescent="0.2">
      <c r="A292" s="3">
        <v>46359</v>
      </c>
      <c r="B292" s="2"/>
      <c r="C292">
        <f t="shared" si="5"/>
        <v>30</v>
      </c>
    </row>
    <row r="293" spans="1:3" x14ac:dyDescent="0.2">
      <c r="A293" s="3">
        <v>46360</v>
      </c>
      <c r="B293" s="2"/>
      <c r="C293">
        <f t="shared" si="5"/>
        <v>30</v>
      </c>
    </row>
    <row r="294" spans="1:3" x14ac:dyDescent="0.2">
      <c r="A294" s="3">
        <v>46361</v>
      </c>
      <c r="B294" s="2"/>
      <c r="C294">
        <f t="shared" si="5"/>
        <v>30</v>
      </c>
    </row>
    <row r="295" spans="1:3" x14ac:dyDescent="0.2">
      <c r="A295" s="3">
        <v>46362</v>
      </c>
      <c r="B295" s="2"/>
      <c r="C295">
        <f t="shared" si="5"/>
        <v>30</v>
      </c>
    </row>
    <row r="296" spans="1:3" x14ac:dyDescent="0.2">
      <c r="A296" s="3">
        <v>46363</v>
      </c>
      <c r="B296" s="2"/>
      <c r="C296">
        <f t="shared" si="5"/>
        <v>30</v>
      </c>
    </row>
    <row r="297" spans="1:3" x14ac:dyDescent="0.2">
      <c r="A297" s="3">
        <v>46364</v>
      </c>
      <c r="B297" s="2"/>
      <c r="C297">
        <f t="shared" si="5"/>
        <v>30</v>
      </c>
    </row>
    <row r="298" spans="1:3" x14ac:dyDescent="0.2">
      <c r="A298" s="3">
        <v>46365</v>
      </c>
      <c r="B298" s="2"/>
      <c r="C298">
        <f t="shared" si="5"/>
        <v>30</v>
      </c>
    </row>
    <row r="299" spans="1:3" x14ac:dyDescent="0.2">
      <c r="A299" s="3">
        <v>46366</v>
      </c>
      <c r="B299" s="2"/>
      <c r="C299">
        <f t="shared" si="5"/>
        <v>30</v>
      </c>
    </row>
    <row r="300" spans="1:3" x14ac:dyDescent="0.2">
      <c r="A300" s="3">
        <v>46367</v>
      </c>
      <c r="B300" s="2"/>
      <c r="C300">
        <f t="shared" si="5"/>
        <v>30</v>
      </c>
    </row>
    <row r="301" spans="1:3" x14ac:dyDescent="0.2">
      <c r="A301" s="3">
        <v>46368</v>
      </c>
      <c r="B301" s="2"/>
      <c r="C301">
        <f t="shared" si="5"/>
        <v>30</v>
      </c>
    </row>
    <row r="302" spans="1:3" x14ac:dyDescent="0.2">
      <c r="A302" s="3">
        <v>46369</v>
      </c>
      <c r="B302" s="2"/>
      <c r="C302">
        <f t="shared" si="5"/>
        <v>30</v>
      </c>
    </row>
    <row r="303" spans="1:3" x14ac:dyDescent="0.2">
      <c r="A303" s="3">
        <v>46370</v>
      </c>
      <c r="B303" s="2"/>
      <c r="C303">
        <f t="shared" si="5"/>
        <v>30</v>
      </c>
    </row>
    <row r="304" spans="1:3" x14ac:dyDescent="0.2">
      <c r="A304" s="3">
        <v>46371</v>
      </c>
      <c r="B304" s="2"/>
      <c r="C304">
        <f t="shared" si="5"/>
        <v>30</v>
      </c>
    </row>
    <row r="305" spans="1:3" x14ac:dyDescent="0.2">
      <c r="A305" s="3">
        <v>46372</v>
      </c>
      <c r="B305" s="2"/>
      <c r="C305">
        <f t="shared" si="5"/>
        <v>30</v>
      </c>
    </row>
    <row r="306" spans="1:3" x14ac:dyDescent="0.2">
      <c r="A306" s="3">
        <v>46373</v>
      </c>
      <c r="B306" s="2"/>
      <c r="C306">
        <f t="shared" si="5"/>
        <v>30</v>
      </c>
    </row>
    <row r="307" spans="1:3" x14ac:dyDescent="0.2">
      <c r="A307" s="3">
        <v>46374</v>
      </c>
      <c r="B307" s="2"/>
      <c r="C307">
        <f t="shared" si="5"/>
        <v>30</v>
      </c>
    </row>
    <row r="308" spans="1:3" x14ac:dyDescent="0.2">
      <c r="A308" s="3">
        <v>46375</v>
      </c>
      <c r="B308" s="2"/>
      <c r="C308">
        <f t="shared" si="5"/>
        <v>30</v>
      </c>
    </row>
    <row r="309" spans="1:3" x14ac:dyDescent="0.2">
      <c r="A309" s="3">
        <v>46376</v>
      </c>
      <c r="B309" s="2"/>
      <c r="C309">
        <f t="shared" si="5"/>
        <v>30</v>
      </c>
    </row>
    <row r="310" spans="1:3" x14ac:dyDescent="0.2">
      <c r="A310" s="3">
        <v>46377</v>
      </c>
      <c r="B310" s="2"/>
      <c r="C310">
        <f t="shared" si="5"/>
        <v>30</v>
      </c>
    </row>
    <row r="311" spans="1:3" x14ac:dyDescent="0.2">
      <c r="A311" s="3">
        <v>46378</v>
      </c>
      <c r="B311" s="2"/>
      <c r="C311">
        <f t="shared" si="5"/>
        <v>30</v>
      </c>
    </row>
    <row r="312" spans="1:3" x14ac:dyDescent="0.2">
      <c r="A312" s="3">
        <v>46379</v>
      </c>
      <c r="B312" s="2"/>
      <c r="C312">
        <f t="shared" si="5"/>
        <v>30</v>
      </c>
    </row>
    <row r="313" spans="1:3" x14ac:dyDescent="0.2">
      <c r="A313" s="3">
        <v>46380</v>
      </c>
      <c r="B313" s="2"/>
      <c r="C313">
        <f t="shared" si="5"/>
        <v>30</v>
      </c>
    </row>
    <row r="314" spans="1:3" x14ac:dyDescent="0.2">
      <c r="A314" s="3">
        <v>46381</v>
      </c>
      <c r="B314" s="2"/>
      <c r="C314">
        <f t="shared" si="5"/>
        <v>30</v>
      </c>
    </row>
    <row r="315" spans="1:3" x14ac:dyDescent="0.2">
      <c r="A315" s="3">
        <v>46382</v>
      </c>
      <c r="B315" s="2"/>
      <c r="C315">
        <f t="shared" si="5"/>
        <v>30</v>
      </c>
    </row>
    <row r="316" spans="1:3" x14ac:dyDescent="0.2">
      <c r="A316" s="3">
        <v>46383</v>
      </c>
      <c r="B316" s="1"/>
      <c r="C316">
        <f t="shared" si="5"/>
        <v>30</v>
      </c>
    </row>
    <row r="317" spans="1:3" x14ac:dyDescent="0.2">
      <c r="A317" s="3">
        <v>46384</v>
      </c>
      <c r="B317" s="1"/>
      <c r="C317">
        <f t="shared" si="5"/>
        <v>30</v>
      </c>
    </row>
    <row r="318" spans="1:3" x14ac:dyDescent="0.2">
      <c r="A318" s="3">
        <v>46385</v>
      </c>
      <c r="B318" s="1"/>
      <c r="C318">
        <f t="shared" si="5"/>
        <v>30</v>
      </c>
    </row>
    <row r="319" spans="1:3" x14ac:dyDescent="0.2">
      <c r="A319" s="3">
        <v>46386</v>
      </c>
      <c r="B319" s="1"/>
      <c r="C319">
        <f t="shared" si="5"/>
        <v>30</v>
      </c>
    </row>
    <row r="320" spans="1:3" x14ac:dyDescent="0.2">
      <c r="A320" s="3">
        <v>46387</v>
      </c>
      <c r="B320" s="1"/>
      <c r="C320">
        <f t="shared" si="5"/>
        <v>30</v>
      </c>
    </row>
    <row r="321" spans="2:2" x14ac:dyDescent="0.2">
      <c r="B3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1C8D-EF7E-5D4C-8DA7-C0369EA46891}">
  <dimension ref="A1:AZ321"/>
  <sheetViews>
    <sheetView zoomScale="75" workbookViewId="0">
      <selection activeCell="B13" sqref="B13"/>
    </sheetView>
  </sheetViews>
  <sheetFormatPr baseColWidth="10" defaultRowHeight="16" x14ac:dyDescent="0.2"/>
  <cols>
    <col min="1" max="1" width="13.33203125" customWidth="1"/>
    <col min="3" max="3" width="15" bestFit="1" customWidth="1"/>
    <col min="7" max="7" width="14.6640625" style="3" customWidth="1"/>
    <col min="8" max="8" width="12" style="3" customWidth="1"/>
    <col min="9" max="9" width="14.6640625" style="3" customWidth="1"/>
    <col min="10" max="10" width="14" style="3" customWidth="1"/>
    <col min="11" max="11" width="12.33203125" style="3" customWidth="1"/>
    <col min="12" max="12" width="13" style="3" customWidth="1"/>
    <col min="13" max="14" width="10.83203125" style="3"/>
  </cols>
  <sheetData>
    <row r="1" spans="1:52" x14ac:dyDescent="0.2">
      <c r="A1" t="s">
        <v>1</v>
      </c>
      <c r="B1" t="s">
        <v>0</v>
      </c>
      <c r="C1" t="s">
        <v>2</v>
      </c>
      <c r="E1" s="3"/>
      <c r="F1" t="s">
        <v>2</v>
      </c>
      <c r="G1" s="3" t="s">
        <v>3</v>
      </c>
    </row>
    <row r="2" spans="1:52" x14ac:dyDescent="0.2">
      <c r="A2" s="3">
        <v>46069</v>
      </c>
      <c r="D2" cm="1">
        <f t="array" ref="D2:D186">_xlfn._xlws.SORT(_xlfn.UNIQUE((B2:B391)))</f>
        <v>519.48</v>
      </c>
      <c r="E2" s="3"/>
      <c r="F2" cm="1">
        <f t="array" ref="F2:F186">_xlfn._xlws.SORT(_xlfn.UNIQUE(C2:C2000))</f>
        <v>1</v>
      </c>
      <c r="G2" s="3" cm="1">
        <f t="array" ref="G2">TRANSPOSE(_xlfn._xlws.FILTER($A$2:$A$2000, $C$2:$C$2000=F2))</f>
        <v>46252</v>
      </c>
      <c r="AA2" t="str" cm="1">
        <f t="array" ref="AA2">_xlfn.LET(_xlpm.dates, _xlfn._xlws.FILTER(G2:Z2, G2:Z2&lt;&gt;""),_xlpm.sorted,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"&amp;F2&amp;""": ["&amp;_xlpm.result&amp;"]")</f>
        <v>"Tier 1": [{"start": "2026-08-18", "end": "2026-08-18"}]</v>
      </c>
      <c r="AZ2" t="e" vm="2">
        <f ca="1">"{" &amp; _xlfn.TEXTJOIN(",", TRUE, AA2:AA250) &amp; "}"</f>
        <v>#VALUE!</v>
      </c>
    </row>
    <row r="3" spans="1:52" x14ac:dyDescent="0.2">
      <c r="A3" s="3">
        <v>46070</v>
      </c>
      <c r="B3" s="1"/>
      <c r="D3">
        <v>521.74</v>
      </c>
      <c r="E3" s="3"/>
      <c r="F3">
        <v>2</v>
      </c>
      <c r="G3" s="3" cm="1">
        <f t="array" ref="G3">TRANSPOSE(_xlfn._xlws.FILTER($A$2:$A$2000, $C$2:$C$2000=F3))</f>
        <v>46273</v>
      </c>
      <c r="AA3" t="str" cm="1">
        <f t="array" ref="AA3">_xlfn.LET(_xlpm.dates, _xlfn._xlws.FILTER(G3:Z3, G3:Z3&lt;&gt;""),_xlpm.sorted,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"&amp;F3&amp;""": ["&amp;_xlpm.result&amp;"]")</f>
        <v>"Tier 2": [{"start": "2026-09-08", "end": "2026-09-08"}]</v>
      </c>
    </row>
    <row r="4" spans="1:52" x14ac:dyDescent="0.2">
      <c r="A4" s="3">
        <v>46071</v>
      </c>
      <c r="B4" s="1"/>
      <c r="D4">
        <v>526.24</v>
      </c>
      <c r="E4" s="3"/>
      <c r="F4">
        <v>3</v>
      </c>
      <c r="G4" s="3" cm="1">
        <f t="array" ref="G4">TRANSPOSE(_xlfn._xlws.FILTER($A$2:$A$2000, $C$2:$C$2000=F4))</f>
        <v>46254</v>
      </c>
      <c r="AA4" t="str" cm="1">
        <f t="array" ref="AA4">_xlfn.LET(_xlpm.dates, _xlfn._xlws.FILTER(G4:Z4, G4:Z4&lt;&gt;""),_xlpm.sorted,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"&amp;F4&amp;""": ["&amp;_xlpm.result&amp;"]")</f>
        <v>"Tier 3": [{"start": "2026-08-20", "end": "2026-08-20"}]</v>
      </c>
    </row>
    <row r="5" spans="1:52" x14ac:dyDescent="0.2">
      <c r="A5" s="3">
        <v>46072</v>
      </c>
      <c r="B5" s="1"/>
      <c r="D5">
        <v>527.39</v>
      </c>
      <c r="E5" s="3"/>
      <c r="F5">
        <v>4</v>
      </c>
      <c r="G5" s="3" cm="1">
        <f t="array" ref="G5">TRANSPOSE(_xlfn._xlws.FILTER($A$2:$A$2000, $C$2:$C$2000=F5))</f>
        <v>46251</v>
      </c>
      <c r="AA5" t="str" cm="1">
        <f t="array" ref="AA5">_xlfn.LET(_xlpm.dates, _xlfn._xlws.FILTER(G5:Z5, G5:Z5&lt;&gt;""),_xlpm.sorted,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"&amp;F5&amp;""": ["&amp;_xlpm.result&amp;"]")</f>
        <v>"Tier 4": [{"start": "2026-08-17", "end": "2026-08-17"}]</v>
      </c>
    </row>
    <row r="6" spans="1:52" x14ac:dyDescent="0.2">
      <c r="A6" s="3">
        <v>46073</v>
      </c>
      <c r="B6" s="1"/>
      <c r="D6">
        <v>530.01</v>
      </c>
      <c r="E6" s="3"/>
      <c r="F6">
        <v>5</v>
      </c>
      <c r="G6" s="3" cm="1">
        <f t="array" ref="G6">TRANSPOSE(_xlfn._xlws.FILTER($A$2:$A$2000, $C$2:$C$2000=F6))</f>
        <v>46274</v>
      </c>
      <c r="Q6">
        <f>A3-A2</f>
        <v>1</v>
      </c>
      <c r="AA6" t="str" cm="1">
        <f t="array" ref="AA6">_xlfn.LET(_xlpm.dates, _xlfn._xlws.FILTER(G6:Z6, G6:Z6&lt;&gt;""),_xlpm.sorted,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"&amp;F6&amp;""": ["&amp;_xlpm.result&amp;"]")</f>
        <v>"Tier 5": [{"start": "2026-09-09", "end": "2026-09-09"},{"start": "1900-01-01", "end": "1900-01-01"}]</v>
      </c>
    </row>
    <row r="7" spans="1:52" x14ac:dyDescent="0.2">
      <c r="A7" s="3">
        <v>46074</v>
      </c>
      <c r="B7" s="1"/>
      <c r="D7">
        <v>531.5</v>
      </c>
      <c r="E7" s="3"/>
      <c r="F7">
        <v>6</v>
      </c>
      <c r="G7" s="3" cm="1">
        <f t="array" ref="G7:H7">TRANSPOSE(_xlfn._xlws.FILTER($A$2:$A$2000, $C$2:$C$2000=F7))</f>
        <v>46253</v>
      </c>
      <c r="H7" s="3">
        <v>46255</v>
      </c>
      <c r="AA7" t="str" cm="1">
        <f t="array" ref="AA7">_xlfn.LET(_xlpm.dates, _xlfn._xlws.FILTER(G7:Z7, G7:Z7&lt;&gt;""),_xlpm.sorted,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"&amp;F7&amp;""": ["&amp;_xlpm.result&amp;"]")</f>
        <v>"Tier 6": [{"start": "2026-08-19", "end": "2026-08-19"},{"start": "2026-08-21", "end": "2026-08-21"}]</v>
      </c>
    </row>
    <row r="8" spans="1:52" x14ac:dyDescent="0.2">
      <c r="A8" s="3">
        <v>46075</v>
      </c>
      <c r="B8" s="1"/>
      <c r="D8">
        <v>534.91999999999996</v>
      </c>
      <c r="E8" s="3"/>
      <c r="F8">
        <v>7</v>
      </c>
      <c r="G8" s="3" cm="1">
        <f t="array" ref="G8">TRANSPOSE(_xlfn._xlws.FILTER($A$2:$A$2000, $C$2:$C$2000=F8))</f>
        <v>46272</v>
      </c>
      <c r="AA8" t="str" cm="1">
        <f t="array" ref="AA8">_xlfn.LET(_xlpm.dates, _xlfn._xlws.FILTER(G8:Z8, G8:Z8&lt;&gt;""),_xlpm.sorted,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"&amp;F8&amp;""": ["&amp;_xlpm.result&amp;"]")</f>
        <v>"Tier 7": [{"start": "2026-09-07", "end": "2026-09-07"}]</v>
      </c>
    </row>
    <row r="9" spans="1:52" x14ac:dyDescent="0.2">
      <c r="A9" s="3">
        <v>46076</v>
      </c>
      <c r="B9" s="1"/>
      <c r="D9">
        <v>536.42999999999995</v>
      </c>
      <c r="E9" s="3"/>
      <c r="F9">
        <v>8</v>
      </c>
      <c r="G9" s="3" cm="1">
        <f t="array" ref="G9">TRANSPOSE(_xlfn._xlws.FILTER($A$2:$A$2000, $C$2:$C$2000=F9))</f>
        <v>46278</v>
      </c>
      <c r="AA9" t="str" cm="1">
        <f t="array" ref="AA9">_xlfn.LET(_xlpm.dates, _xlfn._xlws.FILTER(G9:Z9, G9:Z9&lt;&gt;""),_xlpm.sorted,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"&amp;F9&amp;""": ["&amp;_xlpm.result&amp;"]")</f>
        <v>"Tier 8": [{"start": "2026-09-13", "end": "2026-09-13"}]</v>
      </c>
    </row>
    <row r="10" spans="1:52" x14ac:dyDescent="0.2">
      <c r="A10" s="3">
        <v>46077</v>
      </c>
      <c r="B10" s="1"/>
      <c r="D10">
        <v>536.78</v>
      </c>
      <c r="E10" s="3"/>
      <c r="F10">
        <v>9</v>
      </c>
      <c r="G10" s="3" cm="1">
        <f t="array" ref="G10">TRANSPOSE(_xlfn._xlws.FILTER($A$2:$A$2000, $C$2:$C$2000=F10))</f>
        <v>46275</v>
      </c>
      <c r="AA10" t="str" cm="1">
        <f t="array" ref="AA10">_xlfn.LET(_xlpm.dates, _xlfn._xlws.FILTER(G10:Z10, G10:Z10&lt;&gt;""),_xlpm.sorted,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"&amp;F10&amp;""": ["&amp;_xlpm.result&amp;"]")</f>
        <v>"Tier 9": [{"start": "2026-09-10", "end": "2026-09-10"}]</v>
      </c>
    </row>
    <row r="11" spans="1:52" x14ac:dyDescent="0.2">
      <c r="A11" s="3">
        <v>46078</v>
      </c>
      <c r="B11" s="1"/>
      <c r="D11">
        <v>539.01</v>
      </c>
      <c r="E11" s="3"/>
      <c r="F11">
        <v>10</v>
      </c>
      <c r="G11" s="3" cm="1">
        <f t="array" ref="G11">TRANSPOSE(_xlfn._xlws.FILTER($A$2:$A$2000, $C$2:$C$2000=F11))</f>
        <v>46279</v>
      </c>
      <c r="AA11" t="str" cm="1">
        <f t="array" ref="AA11">_xlfn.LET(_xlpm.dates, _xlfn._xlws.FILTER(G11:Z11, G11:Z11&lt;&gt;""),_xlpm.sorted,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"&amp;F11&amp;""": ["&amp;_xlpm.result&amp;"]")</f>
        <v>"Tier 10": [{"start": "2026-09-14", "end": "2026-09-14"}]</v>
      </c>
    </row>
    <row r="12" spans="1:52" x14ac:dyDescent="0.2">
      <c r="A12" s="3">
        <v>46079</v>
      </c>
      <c r="B12" s="1"/>
      <c r="D12">
        <v>540.19000000000005</v>
      </c>
      <c r="E12" s="3"/>
      <c r="F12">
        <v>11</v>
      </c>
      <c r="G12" s="3" cm="1">
        <f t="array" ref="G12">TRANSPOSE(_xlfn._xlws.FILTER($A$2:$A$2000, $C$2:$C$2000=F12))</f>
        <v>46277</v>
      </c>
      <c r="AA12" t="str" cm="1">
        <f t="array" ref="AA12">_xlfn.LET(_xlpm.dates, _xlfn._xlws.FILTER(G12:Z12, G12:Z12&lt;&gt;""),_xlpm.sorted,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"&amp;F12&amp;""": ["&amp;_xlpm.result&amp;"]")</f>
        <v>"Tier 11": [{"start": "2026-09-12", "end": "2026-09-12"}]</v>
      </c>
    </row>
    <row r="13" spans="1:52" x14ac:dyDescent="0.2">
      <c r="A13" s="3">
        <v>46080</v>
      </c>
      <c r="B13" s="1">
        <v>713.59</v>
      </c>
      <c r="C13">
        <f>MATCH(B13, $D$1:$D$195, 0)-1</f>
        <v>128</v>
      </c>
      <c r="D13">
        <v>541.70000000000005</v>
      </c>
      <c r="E13" s="3"/>
      <c r="F13">
        <v>12</v>
      </c>
      <c r="G13" s="3" cm="1">
        <f t="array" ref="G13">TRANSPOSE(_xlfn._xlws.FILTER($A$2:$A$2000, $C$2:$C$2000=F13))</f>
        <v>46276</v>
      </c>
      <c r="AA13" t="str" cm="1">
        <f t="array" ref="AA13">_xlfn.LET(_xlpm.dates, _xlfn._xlws.FILTER(G13:Z13, G13:Z13&lt;&gt;""),_xlpm.sorted,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"&amp;F13&amp;""": ["&amp;_xlpm.result&amp;"]")</f>
        <v>"Tier 12": [{"start": "2026-09-11", "end": "2026-09-11"}]</v>
      </c>
    </row>
    <row r="14" spans="1:52" x14ac:dyDescent="0.2">
      <c r="A14" s="3">
        <v>46081</v>
      </c>
      <c r="B14" s="1">
        <v>698.23</v>
      </c>
      <c r="C14">
        <f>MATCH(B14, $D$1:$D$195, 0)-1</f>
        <v>100</v>
      </c>
      <c r="D14">
        <v>543.21</v>
      </c>
      <c r="E14" s="3"/>
      <c r="F14">
        <v>13</v>
      </c>
      <c r="G14" s="3" cm="1">
        <f t="array" ref="G14:H14">TRANSPOSE(_xlfn._xlws.FILTER($A$2:$A$2000, $C$2:$C$2000=F14))</f>
        <v>46256</v>
      </c>
      <c r="H14" s="3">
        <v>46257</v>
      </c>
      <c r="AA14" t="str" cm="1">
        <f t="array" ref="AA14">_xlfn.LET(_xlpm.dates, _xlfn._xlws.FILTER(G14:Z14, G14:Z14&lt;&gt;""),_xlpm.sorted,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"&amp;F14&amp;""": ["&amp;_xlpm.result&amp;"]")</f>
        <v>"Tier 13": [{"start": "2026-08-22", "end": "2026-08-22"},{"start": "2026-08-23", "end": "2026-08-23"}]</v>
      </c>
    </row>
    <row r="15" spans="1:52" x14ac:dyDescent="0.2">
      <c r="A15" s="3">
        <v>46082</v>
      </c>
      <c r="B15" s="2">
        <v>682.33</v>
      </c>
      <c r="C15">
        <f>MATCH(B15, $D$1:$D$195, 0)-1</f>
        <v>78</v>
      </c>
      <c r="D15">
        <v>545.04</v>
      </c>
      <c r="F15">
        <v>14</v>
      </c>
      <c r="G15" s="3" cm="1">
        <f t="array" ref="G15">TRANSPOSE(_xlfn._xlws.FILTER($A$2:$A$2000, $C$2:$C$2000=F15))</f>
        <v>46258</v>
      </c>
      <c r="AA15" t="str" cm="1">
        <f t="array" ref="AA15">_xlfn.LET(_xlpm.dates, _xlfn._xlws.FILTER(G15:Z15, G15:Z15&lt;&gt;""),_xlpm.sorted,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"&amp;F15&amp;""": ["&amp;_xlpm.result&amp;"]")</f>
        <v>"Tier 14": [{"start": "2026-08-24", "end": "2026-08-24"}]</v>
      </c>
    </row>
    <row r="16" spans="1:52" x14ac:dyDescent="0.2">
      <c r="A16" s="3">
        <v>46083</v>
      </c>
      <c r="B16" s="2">
        <v>682.33</v>
      </c>
      <c r="C16">
        <f>MATCH(B16, $D$1:$D$195, 0)-1</f>
        <v>78</v>
      </c>
      <c r="D16">
        <v>546.22</v>
      </c>
      <c r="F16">
        <v>15</v>
      </c>
      <c r="G16" s="3" cm="1">
        <f t="array" ref="G16">TRANSPOSE(_xlfn._xlws.FILTER($A$2:$A$2000, $C$2:$C$2000=F16))</f>
        <v>46271</v>
      </c>
      <c r="AA16" t="str" cm="1">
        <f t="array" ref="AA16">_xlfn.LET(_xlpm.dates, _xlfn._xlws.FILTER(G16:Z16, G16:Z16&lt;&gt;""),_xlpm.sorted,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"&amp;F16&amp;""": ["&amp;_xlpm.result&amp;"]")</f>
        <v>"Tier 15": [{"start": "2026-09-06", "end": "2026-09-06"}]</v>
      </c>
    </row>
    <row r="17" spans="1:27" x14ac:dyDescent="0.2">
      <c r="A17" s="3">
        <v>46084</v>
      </c>
      <c r="B17" s="2">
        <v>688.42</v>
      </c>
      <c r="C17">
        <f>MATCH(B17, $D$1:$D$195, 0)-1</f>
        <v>85</v>
      </c>
      <c r="D17">
        <v>547.29999999999995</v>
      </c>
      <c r="F17">
        <v>16</v>
      </c>
      <c r="G17" s="3" cm="1">
        <f t="array" ref="G17">TRANSPOSE(_xlfn._xlws.FILTER($A$2:$A$2000, $C$2:$C$2000=F17))</f>
        <v>46280</v>
      </c>
      <c r="AA17" t="str" cm="1">
        <f t="array" ref="AA17">_xlfn.LET(_xlpm.dates, _xlfn._xlws.FILTER(G17:Z17, G17:Z17&lt;&gt;""),_xlpm.sorted,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"&amp;F17&amp;""": ["&amp;_xlpm.result&amp;"]")</f>
        <v>"Tier 16": [{"start": "2026-09-15", "end": "2026-09-15"}]</v>
      </c>
    </row>
    <row r="18" spans="1:27" x14ac:dyDescent="0.2">
      <c r="A18" s="3">
        <v>46085</v>
      </c>
      <c r="B18" s="2">
        <v>702.16</v>
      </c>
      <c r="C18">
        <f>MATCH(B18, $D$1:$D$195, 0)-1</f>
        <v>108</v>
      </c>
      <c r="D18">
        <v>548.49</v>
      </c>
      <c r="F18">
        <v>17</v>
      </c>
      <c r="G18" s="3" cm="1">
        <f t="array" ref="G18">TRANSPOSE(_xlfn._xlws.FILTER($A$2:$A$2000, $C$2:$C$2000=F18))</f>
        <v>46250</v>
      </c>
      <c r="AA18" t="str" cm="1">
        <f t="array" ref="AA18">_xlfn.LET(_xlpm.dates, _xlfn._xlws.FILTER(G18:Z18, G18:Z18&lt;&gt;""),_xlpm.sorted,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"&amp;F18&amp;""": ["&amp;_xlpm.result&amp;"]")</f>
        <v>"Tier 17": [{"start": "2026-08-16", "end": "2026-08-16"}]</v>
      </c>
    </row>
    <row r="19" spans="1:27" x14ac:dyDescent="0.2">
      <c r="A19" s="3">
        <v>46086</v>
      </c>
      <c r="B19" s="2">
        <v>715.13</v>
      </c>
      <c r="C19">
        <f>MATCH(B19, $D$1:$D$195, 0)-1</f>
        <v>132</v>
      </c>
      <c r="D19">
        <v>551.05999999999995</v>
      </c>
      <c r="F19">
        <v>18</v>
      </c>
      <c r="G19" s="3" cm="1">
        <f t="array" ref="G19">TRANSPOSE(_xlfn._xlws.FILTER($A$2:$A$2000, $C$2:$C$2000=F19))</f>
        <v>46266</v>
      </c>
      <c r="AA19" t="str" cm="1">
        <f t="array" ref="AA19">_xlfn.LET(_xlpm.dates, _xlfn._xlws.FILTER(G19:Z19, G19:Z19&lt;&gt;""),_xlpm.sorted,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"&amp;F19&amp;""": ["&amp;_xlpm.result&amp;"]")</f>
        <v>"Tier 18": [{"start": "2026-09-01", "end": "2026-09-01"}]</v>
      </c>
    </row>
    <row r="20" spans="1:27" x14ac:dyDescent="0.2">
      <c r="A20" s="3">
        <v>46087</v>
      </c>
      <c r="B20" s="2">
        <v>724.3</v>
      </c>
      <c r="C20">
        <f>MATCH(B20, $D$1:$D$195, 0)-1</f>
        <v>147</v>
      </c>
      <c r="D20">
        <v>553.76</v>
      </c>
      <c r="F20">
        <v>19</v>
      </c>
      <c r="G20" s="3" cm="1">
        <f t="array" ref="G20:H20">TRANSPOSE(_xlfn._xlws.FILTER($A$2:$A$2000, $C$2:$C$2000=F20))</f>
        <v>46265</v>
      </c>
      <c r="H20" s="3">
        <v>46285</v>
      </c>
      <c r="AA20" t="str" cm="1">
        <f t="array" ref="AA20">_xlfn.LET(_xlpm.dates, _xlfn._xlws.FILTER(G20:Z20, G20:Z20&lt;&gt;""),_xlpm.sorted,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"&amp;F20&amp;""": ["&amp;_xlpm.result&amp;"]")</f>
        <v>"Tier 19": [{"start": "2026-08-31", "end": "2026-08-31"},{"start": "2026-09-20", "end": "2026-09-20"}]</v>
      </c>
    </row>
    <row r="21" spans="1:27" x14ac:dyDescent="0.2">
      <c r="A21" s="3">
        <v>46088</v>
      </c>
      <c r="B21" s="2">
        <v>725.83</v>
      </c>
      <c r="C21">
        <f>MATCH(B21, $D$1:$D$195, 0)-1</f>
        <v>150</v>
      </c>
      <c r="D21">
        <v>556.01</v>
      </c>
      <c r="F21">
        <v>20</v>
      </c>
      <c r="G21" s="3" cm="1">
        <f t="array" ref="G21">TRANSPOSE(_xlfn._xlws.FILTER($A$2:$A$2000, $C$2:$C$2000=F21))</f>
        <v>46264</v>
      </c>
      <c r="AA21" t="str" cm="1">
        <f t="array" ref="AA21">_xlfn.LET(_xlpm.dates, _xlfn._xlws.FILTER(G21:Z21, G21:Z21&lt;&gt;""),_xlpm.sorted,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"&amp;F21&amp;""": ["&amp;_xlpm.result&amp;"]")</f>
        <v>"Tier 20": [{"start": "2026-08-30", "end": "2026-08-30"}]</v>
      </c>
    </row>
    <row r="22" spans="1:27" x14ac:dyDescent="0.2">
      <c r="A22" s="3">
        <v>46089</v>
      </c>
      <c r="B22" s="2">
        <v>723.53</v>
      </c>
      <c r="C22">
        <f>MATCH(B22, $D$1:$D$195, 0)-1</f>
        <v>145</v>
      </c>
      <c r="D22">
        <v>556.78</v>
      </c>
      <c r="F22">
        <v>21</v>
      </c>
      <c r="G22" s="3" cm="1">
        <f t="array" ref="G22">TRANSPOSE(_xlfn._xlws.FILTER($A$2:$A$2000, $C$2:$C$2000=F22))</f>
        <v>46286</v>
      </c>
      <c r="AA22" t="str" cm="1">
        <f t="array" ref="AA22">_xlfn.LET(_xlpm.dates, _xlfn._xlws.FILTER(G22:Z22, G22:Z22&lt;&gt;""),_xlpm.sorted,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"&amp;F22&amp;""": ["&amp;_xlpm.result&amp;"]")</f>
        <v>"Tier 21": [{"start": "2026-09-21", "end": "2026-09-21"}]</v>
      </c>
    </row>
    <row r="23" spans="1:27" x14ac:dyDescent="0.2">
      <c r="A23" s="3">
        <v>46090</v>
      </c>
      <c r="B23" s="2">
        <v>723.53</v>
      </c>
      <c r="C23">
        <f>MATCH(B23, $D$1:$D$195, 0)-1</f>
        <v>145</v>
      </c>
      <c r="D23">
        <v>557.80999999999995</v>
      </c>
      <c r="F23">
        <v>22</v>
      </c>
      <c r="G23" s="3" cm="1">
        <f t="array" ref="G23">TRANSPOSE(_xlfn._xlws.FILTER($A$2:$A$2000, $C$2:$C$2000=F23))</f>
        <v>46281</v>
      </c>
      <c r="AA23" t="str" cm="1">
        <f t="array" ref="AA23">_xlfn.LET(_xlpm.dates, _xlfn._xlws.FILTER(G23:Z23, G23:Z23&lt;&gt;""),_xlpm.sorted,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"&amp;F23&amp;""": ["&amp;_xlpm.result&amp;"]")</f>
        <v>"Tier 22": [{"start": "2026-09-16", "end": "2026-09-16"}]</v>
      </c>
    </row>
    <row r="24" spans="1:27" x14ac:dyDescent="0.2">
      <c r="A24" s="3">
        <v>46091</v>
      </c>
      <c r="B24" s="2">
        <v>725.83</v>
      </c>
      <c r="C24">
        <f>MATCH(B24, $D$1:$D$195, 0)-1</f>
        <v>150</v>
      </c>
      <c r="D24">
        <v>559.02</v>
      </c>
      <c r="F24">
        <v>23</v>
      </c>
      <c r="G24" s="3" cm="1">
        <f t="array" ref="G24">TRANSPOSE(_xlfn._xlws.FILTER($A$2:$A$2000, $C$2:$C$2000=F24))</f>
        <v>46284</v>
      </c>
      <c r="AA24" t="str" cm="1">
        <f t="array" ref="AA24">_xlfn.LET(_xlpm.dates, _xlfn._xlws.FILTER(G24:Z24, G24:Z24&lt;&gt;""),_xlpm.sorted,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"&amp;F24&amp;""": ["&amp;_xlpm.result&amp;"]")</f>
        <v>"Tier 23": [{"start": "2026-09-19", "end": "2026-09-19"}]</v>
      </c>
    </row>
    <row r="25" spans="1:27" x14ac:dyDescent="0.2">
      <c r="A25" s="3">
        <v>46092</v>
      </c>
      <c r="B25" s="2">
        <v>728.12</v>
      </c>
      <c r="C25">
        <f>MATCH(B25, $D$1:$D$195, 0)-1</f>
        <v>155</v>
      </c>
      <c r="D25">
        <v>562.33000000000004</v>
      </c>
      <c r="F25">
        <v>24</v>
      </c>
      <c r="G25" s="3" cm="1">
        <f t="array" ref="G25">TRANSPOSE(_xlfn._xlws.FILTER($A$2:$A$2000, $C$2:$C$2000=F25))</f>
        <v>46259</v>
      </c>
      <c r="AA25" t="str" cm="1">
        <f t="array" ref="AA25">_xlfn.LET(_xlpm.dates, _xlfn._xlws.FILTER(G25:Z25, G25:Z25&lt;&gt;""),_xlpm.sorted,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"&amp;F25&amp;""": ["&amp;_xlpm.result&amp;"]")</f>
        <v>"Tier 24": [{"start": "2026-08-25", "end": "2026-08-25"}]</v>
      </c>
    </row>
    <row r="26" spans="1:27" x14ac:dyDescent="0.2">
      <c r="A26" s="3">
        <v>46093</v>
      </c>
      <c r="B26" s="2">
        <v>726.59</v>
      </c>
      <c r="C26">
        <f>MATCH(B26, $D$1:$D$195, 0)-1</f>
        <v>151</v>
      </c>
      <c r="D26">
        <v>562.79999999999995</v>
      </c>
      <c r="F26">
        <v>25</v>
      </c>
      <c r="G26" s="3" cm="1">
        <f t="array" ref="G26">TRANSPOSE(_xlfn._xlws.FILTER($A$2:$A$2000, $C$2:$C$2000=F26))</f>
        <v>46270</v>
      </c>
      <c r="AA26" t="str" cm="1">
        <f t="array" ref="AA26">_xlfn.LET(_xlpm.dates, _xlfn._xlws.FILTER(G26:Z26, G26:Z26&lt;&gt;""),_xlpm.sorted,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"&amp;F26&amp;""": ["&amp;_xlpm.result&amp;"]")</f>
        <v>"Tier 25": [{"start": "2026-09-05", "end": "2026-09-05"}]</v>
      </c>
    </row>
    <row r="27" spans="1:27" x14ac:dyDescent="0.2">
      <c r="A27" s="3">
        <v>46094</v>
      </c>
      <c r="B27" s="2">
        <v>725.05</v>
      </c>
      <c r="C27">
        <f>MATCH(B27, $D$1:$D$195, 0)-1</f>
        <v>149</v>
      </c>
      <c r="D27">
        <v>563.08000000000004</v>
      </c>
      <c r="F27">
        <v>26</v>
      </c>
      <c r="G27" s="3" cm="1">
        <f t="array" ref="G27:H27">TRANSPOSE(_xlfn._xlws.FILTER($A$2:$A$2000, $C$2:$C$2000=F27))</f>
        <v>46267</v>
      </c>
      <c r="H27" s="3">
        <v>46282</v>
      </c>
      <c r="AA27" t="str" cm="1">
        <f t="array" ref="AA27">_xlfn.LET(_xlpm.dates, _xlfn._xlws.FILTER(G27:Z27, G27:Z27&lt;&gt;""),_xlpm.sorted,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"&amp;F27&amp;""": ["&amp;_xlpm.result&amp;"]")</f>
        <v>"Tier 26": [{"start": "2026-09-02", "end": "2026-09-02"},{"start": "2026-09-17", "end": "2026-09-17"}]</v>
      </c>
    </row>
    <row r="28" spans="1:27" x14ac:dyDescent="0.2">
      <c r="A28" s="3">
        <v>46095</v>
      </c>
      <c r="B28" s="2">
        <v>718.2</v>
      </c>
      <c r="C28">
        <f>MATCH(B28, $D$1:$D$195, 0)-1</f>
        <v>138</v>
      </c>
      <c r="D28">
        <v>565.33000000000004</v>
      </c>
      <c r="F28">
        <v>27</v>
      </c>
      <c r="G28" s="3" cm="1">
        <f t="array" ref="G28">TRANSPOSE(_xlfn._xlws.FILTER($A$2:$A$2000, $C$2:$C$2000=F28))</f>
        <v>46287</v>
      </c>
      <c r="AA28" t="str" cm="1">
        <f t="array" ref="AA28">_xlfn.LET(_xlpm.dates, _xlfn._xlws.FILTER(G28:Z28, G28:Z28&lt;&gt;""),_xlpm.sorted,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"&amp;F28&amp;""": ["&amp;_xlpm.result&amp;"]")</f>
        <v>"Tier 27": [{"start": "2026-09-22", "end": "2026-09-22"}]</v>
      </c>
    </row>
    <row r="29" spans="1:27" x14ac:dyDescent="0.2">
      <c r="A29" s="3">
        <v>46096</v>
      </c>
      <c r="B29" s="2">
        <v>711.31</v>
      </c>
      <c r="C29">
        <f>MATCH(B29, $D$1:$D$195, 0)-1</f>
        <v>124</v>
      </c>
      <c r="D29">
        <v>565.79999999999995</v>
      </c>
      <c r="F29">
        <v>28</v>
      </c>
      <c r="G29" s="3" cm="1">
        <f t="array" ref="G29">TRANSPOSE(_xlfn._xlws.FILTER($A$2:$A$2000, $C$2:$C$2000=F29))</f>
        <v>46283</v>
      </c>
      <c r="AA29" t="str" cm="1">
        <f t="array" ref="AA29">_xlfn.LET(_xlpm.dates, _xlfn._xlws.FILTER(G29:Z29, G29:Z29&lt;&gt;""),_xlpm.sorted,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"&amp;F29&amp;""": ["&amp;_xlpm.result&amp;"]")</f>
        <v>"Tier 28": [{"start": "2026-09-18", "end": "2026-09-18"}]</v>
      </c>
    </row>
    <row r="30" spans="1:27" x14ac:dyDescent="0.2">
      <c r="A30" s="3">
        <v>46097</v>
      </c>
      <c r="B30" s="2">
        <v>708.26</v>
      </c>
      <c r="C30">
        <f>MATCH(B30, $D$1:$D$195, 0)-1</f>
        <v>118</v>
      </c>
      <c r="D30">
        <v>568.83000000000004</v>
      </c>
      <c r="F30">
        <v>29</v>
      </c>
      <c r="G30" s="3" cm="1">
        <f t="array" ref="G30">TRANSPOSE(_xlfn._xlws.FILTER($A$2:$A$2000, $C$2:$C$2000=F30))</f>
        <v>46263</v>
      </c>
      <c r="AA30" t="str" cm="1">
        <f t="array" ref="AA30">_xlfn.LET(_xlpm.dates, _xlfn._xlws.FILTER(G30:Z30, G30:Z30&lt;&gt;""),_xlpm.sorted,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"&amp;F30&amp;""": ["&amp;_xlpm.result&amp;"]")</f>
        <v>"Tier 29": [{"start": "2026-08-29", "end": "2026-08-29"}]</v>
      </c>
    </row>
    <row r="31" spans="1:27" x14ac:dyDescent="0.2">
      <c r="A31" s="3">
        <v>46098</v>
      </c>
      <c r="B31" s="2">
        <v>709.79</v>
      </c>
      <c r="C31">
        <f>MATCH(B31, $D$1:$D$195, 0)-1</f>
        <v>121</v>
      </c>
      <c r="D31">
        <v>572.09</v>
      </c>
      <c r="F31">
        <v>30</v>
      </c>
      <c r="G31" s="3" cm="1">
        <f t="array" ref="G31">TRANSPOSE(_xlfn._xlws.FILTER($A$2:$A$2000, $C$2:$C$2000=F31))</f>
        <v>46260</v>
      </c>
      <c r="AA31" t="str" cm="1">
        <f t="array" ref="AA31">_xlfn.LET(_xlpm.dates, _xlfn._xlws.FILTER(G31:Z31, G31:Z31&lt;&gt;""),_xlpm.sorted,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"&amp;F31&amp;""": ["&amp;_xlpm.result&amp;"]")</f>
        <v>"Tier 30": [{"start": "2026-08-26", "end": "2026-08-26"}]</v>
      </c>
    </row>
    <row r="32" spans="1:27" x14ac:dyDescent="0.2">
      <c r="A32" s="3">
        <v>46099</v>
      </c>
      <c r="B32" s="2">
        <v>711.31</v>
      </c>
      <c r="C32">
        <f>MATCH(B32, $D$1:$D$195, 0)-1</f>
        <v>124</v>
      </c>
      <c r="D32">
        <v>572.86</v>
      </c>
      <c r="F32">
        <v>31</v>
      </c>
      <c r="G32" s="3" cm="1">
        <f t="array" ref="G32">TRANSPOSE(_xlfn._xlws.FILTER($A$2:$A$2000, $C$2:$C$2000=F32))</f>
        <v>46288</v>
      </c>
      <c r="AA32" t="str" cm="1">
        <f t="array" ref="AA32">_xlfn.LET(_xlpm.dates, _xlfn._xlws.FILTER(G32:Z32, G32:Z32&lt;&gt;""),_xlpm.sorted,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"&amp;F32&amp;""": ["&amp;_xlpm.result&amp;"]")</f>
        <v>"Tier 31": [{"start": "2026-09-23", "end": "2026-09-23"}]</v>
      </c>
    </row>
    <row r="33" spans="1:27" x14ac:dyDescent="0.2">
      <c r="A33" s="3">
        <v>46100</v>
      </c>
      <c r="B33" s="2">
        <v>715.9</v>
      </c>
      <c r="C33">
        <f>MATCH(B33, $D$1:$D$195, 0)-1</f>
        <v>134</v>
      </c>
      <c r="D33">
        <v>574.11</v>
      </c>
      <c r="F33">
        <v>32</v>
      </c>
      <c r="G33" s="3" cm="1">
        <f t="array" ref="G33">TRANSPOSE(_xlfn._xlws.FILTER($A$2:$A$2000, $C$2:$C$2000=F33))</f>
        <v>46249</v>
      </c>
      <c r="AA33" t="str" cm="1">
        <f t="array" ref="AA33">_xlfn.LET(_xlpm.dates, _xlfn._xlws.FILTER(G33:Z33, G33:Z33&lt;&gt;""),_xlpm.sorted,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"&amp;F33&amp;""": ["&amp;_xlpm.result&amp;"]")</f>
        <v>"Tier 32": [{"start": "2026-08-15", "end": "2026-08-15"}]</v>
      </c>
    </row>
    <row r="34" spans="1:27" x14ac:dyDescent="0.2">
      <c r="A34" s="3">
        <v>46101</v>
      </c>
      <c r="B34" s="2">
        <v>716.67</v>
      </c>
      <c r="C34">
        <f>MATCH(B34, $D$1:$D$195, 0)-1</f>
        <v>136</v>
      </c>
      <c r="D34">
        <v>575.11</v>
      </c>
      <c r="F34">
        <v>33</v>
      </c>
      <c r="G34" s="3" cm="1">
        <f t="array" ref="G34">TRANSPOSE(_xlfn._xlws.FILTER($A$2:$A$2000, $C$2:$C$2000=F34))</f>
        <v>46262</v>
      </c>
      <c r="AA34" t="str" cm="1">
        <f t="array" ref="AA34">_xlfn.LET(_xlpm.dates, _xlfn._xlws.FILTER(G34:Z34, G34:Z34&lt;&gt;""),_xlpm.sorted,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"&amp;F34&amp;""": ["&amp;_xlpm.result&amp;"]")</f>
        <v>"Tier 33": [{"start": "2026-08-28", "end": "2026-08-28"}]</v>
      </c>
    </row>
    <row r="35" spans="1:27" x14ac:dyDescent="0.2">
      <c r="A35" s="3">
        <v>46102</v>
      </c>
      <c r="B35" s="2">
        <v>713.6</v>
      </c>
      <c r="C35">
        <f>MATCH(B35, $D$1:$D$195, 0)-1</f>
        <v>129</v>
      </c>
      <c r="D35">
        <v>575.6</v>
      </c>
      <c r="F35">
        <v>34</v>
      </c>
      <c r="G35" s="3" cm="1">
        <f t="array" ref="G35">TRANSPOSE(_xlfn._xlws.FILTER($A$2:$A$2000, $C$2:$C$2000=F35))</f>
        <v>46269</v>
      </c>
      <c r="AA35" t="str" cm="1">
        <f t="array" ref="AA35">_xlfn.LET(_xlpm.dates, _xlfn._xlws.FILTER(G35:Z35, G35:Z35&lt;&gt;""),_xlpm.sorted,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"&amp;F35&amp;""": ["&amp;_xlpm.result&amp;"]")</f>
        <v>"Tier 34": [{"start": "2026-09-04", "end": "2026-09-04"}]</v>
      </c>
    </row>
    <row r="36" spans="1:27" x14ac:dyDescent="0.2">
      <c r="A36" s="3">
        <v>46103</v>
      </c>
      <c r="B36" s="2">
        <v>709.79</v>
      </c>
      <c r="C36">
        <f>MATCH(B36, $D$1:$D$195, 0)-1</f>
        <v>121</v>
      </c>
      <c r="D36">
        <v>578.12</v>
      </c>
      <c r="F36">
        <v>35</v>
      </c>
      <c r="G36" s="3" cm="1">
        <f t="array" ref="G36">TRANSPOSE(_xlfn._xlws.FILTER($A$2:$A$2000, $C$2:$C$2000=F36))</f>
        <v>46268</v>
      </c>
      <c r="AA36" t="str" cm="1">
        <f t="array" ref="AA36">_xlfn.LET(_xlpm.dates, _xlfn._xlws.FILTER(G36:Z36, G36:Z36&lt;&gt;""),_xlpm.sorted,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"&amp;F36&amp;""": ["&amp;_xlpm.result&amp;"]")</f>
        <v>"Tier 35": [{"start": "2026-09-03", "end": "2026-09-03"}]</v>
      </c>
    </row>
    <row r="37" spans="1:27" x14ac:dyDescent="0.2">
      <c r="A37" s="3">
        <v>46104</v>
      </c>
      <c r="B37" s="2">
        <v>707.5</v>
      </c>
      <c r="C37">
        <f>MATCH(B37, $D$1:$D$195, 0)-1</f>
        <v>117</v>
      </c>
      <c r="D37">
        <v>578.89</v>
      </c>
      <c r="F37">
        <v>36</v>
      </c>
      <c r="G37" s="3" cm="1">
        <f t="array" ref="G37">TRANSPOSE(_xlfn._xlws.FILTER($A$2:$A$2000, $C$2:$C$2000=F37))</f>
        <v>46289</v>
      </c>
      <c r="AA37" t="str" cm="1">
        <f t="array" ref="AA37">_xlfn.LET(_xlpm.dates, _xlfn._xlws.FILTER(G37:Z37, G37:Z37&lt;&gt;""),_xlpm.sorted,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"&amp;F37&amp;""": ["&amp;_xlpm.result&amp;"]")</f>
        <v>"Tier 36": [{"start": "2026-09-24", "end": "2026-09-24"}]</v>
      </c>
    </row>
    <row r="38" spans="1:27" x14ac:dyDescent="0.2">
      <c r="A38" s="3">
        <v>46105</v>
      </c>
      <c r="B38" s="2">
        <v>709.79</v>
      </c>
      <c r="C38">
        <f>MATCH(B38, $D$1:$D$195, 0)-1</f>
        <v>121</v>
      </c>
      <c r="D38">
        <v>580.38</v>
      </c>
      <c r="F38">
        <v>37</v>
      </c>
      <c r="G38" s="3" cm="1">
        <f t="array" ref="G38">TRANSPOSE(_xlfn._xlws.FILTER($A$2:$A$2000, $C$2:$C$2000=F38))</f>
        <v>46261</v>
      </c>
      <c r="AA38" t="str" cm="1">
        <f t="array" ref="AA38">_xlfn.LET(_xlpm.dates, _xlfn._xlws.FILTER(G38:Z38, G38:Z38&lt;&gt;""),_xlpm.sorted,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"&amp;F38&amp;""": ["&amp;_xlpm.result&amp;"]")</f>
        <v>"Tier 37": [{"start": "2026-08-27", "end": "2026-08-27"}]</v>
      </c>
    </row>
    <row r="39" spans="1:27" x14ac:dyDescent="0.2">
      <c r="A39" s="3">
        <v>46106</v>
      </c>
      <c r="B39" s="2">
        <v>715.9</v>
      </c>
      <c r="C39">
        <f>MATCH(B39, $D$1:$D$195, 0)-1</f>
        <v>134</v>
      </c>
      <c r="D39">
        <v>589.16999999999996</v>
      </c>
      <c r="F39">
        <v>38</v>
      </c>
      <c r="G39" s="3" cm="1">
        <f t="array" ref="G39:H39">TRANSPOSE(_xlfn._xlws.FILTER($A$2:$A$2000, $C$2:$C$2000=F39))</f>
        <v>46248</v>
      </c>
      <c r="H39" s="3">
        <v>46290</v>
      </c>
      <c r="AA39" t="str" cm="1">
        <f t="array" ref="AA39">_xlfn.LET(_xlpm.dates, _xlfn._xlws.FILTER(G39:Z39, G39:Z39&lt;&gt;""),_xlpm.sorted,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"&amp;F39&amp;""": ["&amp;_xlpm.result&amp;"]")</f>
        <v>"Tier 38": [{"start": "2026-08-14", "end": "2026-08-14"},{"start": "2026-09-25", "end": "2026-09-25"}]</v>
      </c>
    </row>
    <row r="40" spans="1:27" x14ac:dyDescent="0.2">
      <c r="A40" s="3">
        <v>46107</v>
      </c>
      <c r="B40" s="2">
        <v>719.71</v>
      </c>
      <c r="C40">
        <f>MATCH(B40, $D$1:$D$195, 0)-1</f>
        <v>139</v>
      </c>
      <c r="D40">
        <v>590.15</v>
      </c>
      <c r="F40">
        <v>39</v>
      </c>
      <c r="G40" s="3" cm="1">
        <f t="array" ref="G40">TRANSPOSE(_xlfn._xlws.FILTER($A$2:$A$2000, $C$2:$C$2000=F40))</f>
        <v>46244</v>
      </c>
      <c r="AA40" t="str" cm="1">
        <f t="array" ref="AA40">_xlfn.LET(_xlpm.dates, _xlfn._xlws.FILTER(G40:Z40, G40:Z40&lt;&gt;""),_xlpm.sorted,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"&amp;F40&amp;""": ["&amp;_xlpm.result&amp;"]")</f>
        <v>"Tier 39": [{"start": "2026-08-10", "end": "2026-08-10"}]</v>
      </c>
    </row>
    <row r="41" spans="1:27" x14ac:dyDescent="0.2">
      <c r="A41" s="3">
        <v>46108</v>
      </c>
      <c r="B41" s="2">
        <v>723.53</v>
      </c>
      <c r="C41">
        <f>MATCH(B41, $D$1:$D$195, 0)-1</f>
        <v>145</v>
      </c>
      <c r="D41">
        <v>593.69000000000005</v>
      </c>
      <c r="F41">
        <v>40</v>
      </c>
      <c r="G41" s="3" cm="1">
        <f t="array" ref="G41">TRANSPOSE(_xlfn._xlws.FILTER($A$2:$A$2000, $C$2:$C$2000=F41))</f>
        <v>46243</v>
      </c>
      <c r="AA41" t="str" cm="1">
        <f t="array" ref="AA41">_xlfn.LET(_xlpm.dates, _xlfn._xlws.FILTER(G41:Z41, G41:Z41&lt;&gt;""),_xlpm.sorted,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"&amp;F41&amp;""": ["&amp;_xlpm.result&amp;"]")</f>
        <v>"Tier 40": [{"start": "2026-08-09", "end": "2026-08-09"}]</v>
      </c>
    </row>
    <row r="42" spans="1:27" x14ac:dyDescent="0.2">
      <c r="A42" s="3">
        <v>46109</v>
      </c>
      <c r="B42" s="2">
        <v>725.83</v>
      </c>
      <c r="C42">
        <f>MATCH(B42, $D$1:$D$195, 0)-1</f>
        <v>150</v>
      </c>
      <c r="D42">
        <v>597.66999999999996</v>
      </c>
      <c r="F42">
        <v>41</v>
      </c>
      <c r="G42" s="3" cm="1">
        <f t="array" ref="G42">TRANSPOSE(_xlfn._xlws.FILTER($A$2:$A$2000, $C$2:$C$2000=F42))</f>
        <v>46245</v>
      </c>
      <c r="AA42" t="str" cm="1">
        <f t="array" ref="AA42">_xlfn.LET(_xlpm.dates, _xlfn._xlws.FILTER(G42:Z42, G42:Z42&lt;&gt;""),_xlpm.sorted,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"&amp;F42&amp;""": ["&amp;_xlpm.result&amp;"]")</f>
        <v>"Tier 41": [{"start": "2026-08-11", "end": "2026-08-11"}]</v>
      </c>
    </row>
    <row r="43" spans="1:27" x14ac:dyDescent="0.2">
      <c r="A43" s="3">
        <v>46110</v>
      </c>
      <c r="B43" s="1">
        <v>723.53</v>
      </c>
      <c r="C43">
        <f>MATCH(B43, $D$1:$D$195, 0)-1</f>
        <v>145</v>
      </c>
      <c r="D43">
        <v>601.21</v>
      </c>
      <c r="F43">
        <v>42</v>
      </c>
      <c r="G43" s="3" cm="1">
        <f t="array" ref="G43">TRANSPOSE(_xlfn._xlws.FILTER($A$2:$A$2000, $C$2:$C$2000=F43))</f>
        <v>46291</v>
      </c>
      <c r="AA43" t="str" cm="1">
        <f t="array" ref="AA43">_xlfn.LET(_xlpm.dates, _xlfn._xlws.FILTER(G43:Z43, G43:Z43&lt;&gt;""),_xlpm.sorted,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"&amp;F43&amp;""": ["&amp;_xlpm.result&amp;"]")</f>
        <v>"Tier 42": [{"start": "2026-09-26", "end": "2026-09-26"}]</v>
      </c>
    </row>
    <row r="44" spans="1:27" x14ac:dyDescent="0.2">
      <c r="A44" s="3">
        <v>46111</v>
      </c>
      <c r="B44" s="1">
        <v>723.53</v>
      </c>
      <c r="C44">
        <f>MATCH(B44, $D$1:$D$195, 0)-1</f>
        <v>145</v>
      </c>
      <c r="D44">
        <v>602.73</v>
      </c>
      <c r="F44">
        <v>43</v>
      </c>
      <c r="G44" s="3" cm="1">
        <f t="array" ref="G44">TRANSPOSE(_xlfn._xlws.FILTER($A$2:$A$2000, $C$2:$C$2000=F44))</f>
        <v>46237</v>
      </c>
      <c r="AA44" t="str" cm="1">
        <f t="array" ref="AA44">_xlfn.LET(_xlpm.dates, _xlfn._xlws.FILTER(G44:Z44, G44:Z44&lt;&gt;""),_xlpm.sorted,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"&amp;F44&amp;""": ["&amp;_xlpm.result&amp;"]")</f>
        <v>"Tier 43": [{"start": "2026-08-03", "end": "2026-08-03"}]</v>
      </c>
    </row>
    <row r="45" spans="1:27" x14ac:dyDescent="0.2">
      <c r="A45" s="3">
        <v>46112</v>
      </c>
      <c r="B45" s="1">
        <v>725.83</v>
      </c>
      <c r="C45">
        <f>MATCH(B45, $D$1:$D$195, 0)-1</f>
        <v>150</v>
      </c>
      <c r="D45">
        <v>603.48</v>
      </c>
      <c r="F45">
        <v>44</v>
      </c>
      <c r="G45" s="3" cm="1">
        <f t="array" ref="G45">TRANSPOSE(_xlfn._xlws.FILTER($A$2:$A$2000, $C$2:$C$2000=F45))</f>
        <v>46242</v>
      </c>
      <c r="AA45" t="str" cm="1">
        <f t="array" ref="AA45">_xlfn.LET(_xlpm.dates, _xlfn._xlws.FILTER(G45:Z45, G45:Z45&lt;&gt;""),_xlpm.sorted,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"&amp;F45&amp;""": ["&amp;_xlpm.result&amp;"]")</f>
        <v>"Tier 44": [{"start": "2026-08-08", "end": "2026-08-08"}]</v>
      </c>
    </row>
    <row r="46" spans="1:27" x14ac:dyDescent="0.2">
      <c r="A46" s="3">
        <v>46113</v>
      </c>
      <c r="B46" s="1">
        <v>728.12</v>
      </c>
      <c r="C46">
        <f>MATCH(B46, $D$1:$D$195, 0)-1</f>
        <v>155</v>
      </c>
      <c r="D46">
        <v>604.42999999999995</v>
      </c>
      <c r="F46">
        <v>45</v>
      </c>
      <c r="G46" s="3" cm="1">
        <f t="array" ref="G46">TRANSPOSE(_xlfn._xlws.FILTER($A$2:$A$2000, $C$2:$C$2000=F46))</f>
        <v>46246</v>
      </c>
      <c r="AA46" t="str" cm="1">
        <f t="array" ref="AA46">_xlfn.LET(_xlpm.dates, _xlfn._xlws.FILTER(G46:Z46, G46:Z46&lt;&gt;""),_xlpm.sorted,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"&amp;F46&amp;""": ["&amp;_xlpm.result&amp;"]")</f>
        <v>"Tier 45": [{"start": "2026-08-12", "end": "2026-08-12"}]</v>
      </c>
    </row>
    <row r="47" spans="1:27" x14ac:dyDescent="0.2">
      <c r="A47" s="3">
        <v>46114</v>
      </c>
      <c r="B47" s="2">
        <v>728.12</v>
      </c>
      <c r="C47">
        <f>MATCH(B47, $D$1:$D$195, 0)-1</f>
        <v>155</v>
      </c>
      <c r="D47">
        <v>606.51</v>
      </c>
      <c r="F47">
        <v>46</v>
      </c>
      <c r="G47" s="3" cm="1">
        <f t="array" ref="G47">TRANSPOSE(_xlfn._xlws.FILTER($A$2:$A$2000, $C$2:$C$2000=F47))</f>
        <v>46241</v>
      </c>
      <c r="AA47" t="str" cm="1">
        <f t="array" ref="AA47">_xlfn.LET(_xlpm.dates, _xlfn._xlws.FILTER(G47:Z47, G47:Z47&lt;&gt;""),_xlpm.sorted,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"&amp;F47&amp;""": ["&amp;_xlpm.result&amp;"]")</f>
        <v>"Tier 46": [{"start": "2026-08-07", "end": "2026-08-07"}]</v>
      </c>
    </row>
    <row r="48" spans="1:27" x14ac:dyDescent="0.2">
      <c r="A48" s="3">
        <v>46115</v>
      </c>
      <c r="B48" s="2">
        <v>728.12</v>
      </c>
      <c r="C48">
        <f>MATCH(B48, $D$1:$D$195, 0)-1</f>
        <v>155</v>
      </c>
      <c r="D48">
        <v>607.44000000000005</v>
      </c>
      <c r="F48">
        <v>47</v>
      </c>
      <c r="G48" s="3" cm="1">
        <f t="array" ref="G48">TRANSPOSE(_xlfn._xlws.FILTER($A$2:$A$2000, $C$2:$C$2000=F48))</f>
        <v>46247</v>
      </c>
      <c r="AA48" t="str" cm="1">
        <f t="array" ref="AA48">_xlfn.LET(_xlpm.dates, _xlfn._xlws.FILTER(G48:Z48, G48:Z48&lt;&gt;""),_xlpm.sorted,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"&amp;F48&amp;""": ["&amp;_xlpm.result&amp;"]")</f>
        <v>"Tier 47": [{"start": "2026-08-13", "end": "2026-08-13"}]</v>
      </c>
    </row>
    <row r="49" spans="1:27" x14ac:dyDescent="0.2">
      <c r="A49" s="3">
        <v>46116</v>
      </c>
      <c r="B49" s="2">
        <v>725.83</v>
      </c>
      <c r="C49">
        <f>MATCH(B49, $D$1:$D$195, 0)-1</f>
        <v>150</v>
      </c>
      <c r="D49">
        <v>608.77</v>
      </c>
      <c r="F49">
        <v>48</v>
      </c>
      <c r="G49" s="3" cm="1">
        <f t="array" ref="G49">TRANSPOSE(_xlfn._xlws.FILTER($A$2:$A$2000, $C$2:$C$2000=F49))</f>
        <v>46238</v>
      </c>
      <c r="AA49" t="str" cm="1">
        <f t="array" ref="AA49">_xlfn.LET(_xlpm.dates, _xlfn._xlws.FILTER(G49:Z49, G49:Z49&lt;&gt;""),_xlpm.sorted,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"&amp;F49&amp;""": ["&amp;_xlpm.result&amp;"]")</f>
        <v>"Tier 48": [{"start": "2026-08-04", "end": "2026-08-04"}]</v>
      </c>
    </row>
    <row r="50" spans="1:27" x14ac:dyDescent="0.2">
      <c r="A50" s="3">
        <v>46117</v>
      </c>
      <c r="B50" s="2">
        <v>723.53</v>
      </c>
      <c r="C50">
        <f>MATCH(B50, $D$1:$D$195, 0)-1</f>
        <v>145</v>
      </c>
      <c r="D50">
        <v>611.03</v>
      </c>
      <c r="F50">
        <v>49</v>
      </c>
      <c r="G50" s="3" cm="1">
        <f t="array" ref="G50:H50">TRANSPOSE(_xlfn._xlws.FILTER($A$2:$A$2000, $C$2:$C$2000=F50))</f>
        <v>46239</v>
      </c>
      <c r="H50" s="3">
        <v>46240</v>
      </c>
      <c r="AA50" t="str" cm="1">
        <f t="array" ref="AA50">_xlfn.LET(_xlpm.dates, _xlfn._xlws.FILTER(G50:Z50, G50:Z50&lt;&gt;""),_xlpm.sorted,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"&amp;F50&amp;""": ["&amp;_xlpm.result&amp;"]")</f>
        <v>"Tier 49": [{"start": "2026-08-05", "end": "2026-08-05"},{"start": "2026-08-06", "end": "2026-08-06"}]</v>
      </c>
    </row>
    <row r="51" spans="1:27" x14ac:dyDescent="0.2">
      <c r="A51" s="3">
        <v>46118</v>
      </c>
      <c r="B51" s="2">
        <v>723.53</v>
      </c>
      <c r="C51">
        <f>MATCH(B51, $D$1:$D$195, 0)-1</f>
        <v>145</v>
      </c>
      <c r="D51">
        <v>612.52</v>
      </c>
      <c r="F51">
        <v>50</v>
      </c>
      <c r="G51" s="3" cm="1">
        <f t="array" ref="G51">TRANSPOSE(_xlfn._xlws.FILTER($A$2:$A$2000, $C$2:$C$2000=F51))</f>
        <v>46292</v>
      </c>
      <c r="AA51" t="str" cm="1">
        <f t="array" ref="AA51">_xlfn.LET(_xlpm.dates, _xlfn._xlws.FILTER(G51:Z51, G51:Z51&lt;&gt;""),_xlpm.sorted,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"&amp;F51&amp;""": ["&amp;_xlpm.result&amp;"]")</f>
        <v>"Tier 50": [{"start": "2026-09-27", "end": "2026-09-27"}]</v>
      </c>
    </row>
    <row r="52" spans="1:27" x14ac:dyDescent="0.2">
      <c r="A52" s="3">
        <v>46119</v>
      </c>
      <c r="B52" s="2">
        <v>725.83</v>
      </c>
      <c r="C52">
        <f>MATCH(B52, $D$1:$D$195, 0)-1</f>
        <v>150</v>
      </c>
      <c r="D52">
        <v>613.27</v>
      </c>
      <c r="F52">
        <v>51</v>
      </c>
      <c r="G52" s="3" cm="1">
        <f t="array" ref="G52">TRANSPOSE(_xlfn._xlws.FILTER($A$2:$A$2000, $C$2:$C$2000=F52))</f>
        <v>46236</v>
      </c>
      <c r="AA52" t="str" cm="1">
        <f t="array" ref="AA52">_xlfn.LET(_xlpm.dates, _xlfn._xlws.FILTER(G52:Z52, G52:Z52&lt;&gt;""),_xlpm.sorted,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"&amp;F52&amp;""": ["&amp;_xlpm.result&amp;"]")</f>
        <v>"Tier 51": [{"start": "2026-08-02", "end": "2026-08-02"}]</v>
      </c>
    </row>
    <row r="53" spans="1:27" x14ac:dyDescent="0.2">
      <c r="A53" s="3">
        <v>46120</v>
      </c>
      <c r="B53" s="2">
        <v>728.12</v>
      </c>
      <c r="C53">
        <f>MATCH(B53, $D$1:$D$195, 0)-1</f>
        <v>155</v>
      </c>
      <c r="D53">
        <v>627.61</v>
      </c>
      <c r="F53">
        <v>52</v>
      </c>
      <c r="G53" s="3" cm="1">
        <f t="array" ref="G53">TRANSPOSE(_xlfn._xlws.FILTER($A$2:$A$2000, $C$2:$C$2000=F53))</f>
        <v>46235</v>
      </c>
      <c r="AA53" t="str" cm="1">
        <f t="array" ref="AA53">_xlfn.LET(_xlpm.dates, _xlfn._xlws.FILTER(G53:Z53, G53:Z53&lt;&gt;""),_xlpm.sorted,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"&amp;F53&amp;""": ["&amp;_xlpm.result&amp;"]")</f>
        <v>"Tier 52": [{"start": "2026-08-01", "end": "2026-08-01"}]</v>
      </c>
    </row>
    <row r="54" spans="1:27" x14ac:dyDescent="0.2">
      <c r="A54" s="3">
        <v>46121</v>
      </c>
      <c r="B54" s="2">
        <v>728.12</v>
      </c>
      <c r="C54">
        <f>MATCH(B54, $D$1:$D$195, 0)-1</f>
        <v>155</v>
      </c>
      <c r="D54">
        <v>629.1</v>
      </c>
      <c r="F54">
        <v>53</v>
      </c>
      <c r="G54" s="3" cm="1">
        <f t="array" ref="G54">TRANSPOSE(_xlfn._xlws.FILTER($A$2:$A$2000, $C$2:$C$2000=F54))</f>
        <v>46229</v>
      </c>
      <c r="AA54" t="str" cm="1">
        <f t="array" ref="AA54">_xlfn.LET(_xlpm.dates, _xlfn._xlws.FILTER(G54:Z54, G54:Z54&lt;&gt;""),_xlpm.sorted,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"&amp;F54&amp;""": ["&amp;_xlpm.result&amp;"]")</f>
        <v>"Tier 53": [{"start": "2026-07-26", "end": "2026-07-26"}]</v>
      </c>
    </row>
    <row r="55" spans="1:27" x14ac:dyDescent="0.2">
      <c r="A55" s="3">
        <v>46122</v>
      </c>
      <c r="B55" s="2">
        <v>724.3</v>
      </c>
      <c r="C55">
        <f>MATCH(B55, $D$1:$D$195, 0)-1</f>
        <v>147</v>
      </c>
      <c r="D55">
        <v>629.85</v>
      </c>
      <c r="F55">
        <v>54</v>
      </c>
      <c r="G55" s="3" cm="1">
        <f t="array" ref="G55">TRANSPOSE(_xlfn._xlws.FILTER($A$2:$A$2000, $C$2:$C$2000=F55))</f>
        <v>46230</v>
      </c>
      <c r="AA55" t="str" cm="1">
        <f t="array" ref="AA55">_xlfn.LET(_xlpm.dates, _xlfn._xlws.FILTER(G55:Z55, G55:Z55&lt;&gt;""),_xlpm.sorted,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"&amp;F55&amp;""": ["&amp;_xlpm.result&amp;"]")</f>
        <v>"Tier 54": [{"start": "2026-07-27", "end": "2026-07-27"}]</v>
      </c>
    </row>
    <row r="56" spans="1:27" x14ac:dyDescent="0.2">
      <c r="A56" s="3">
        <v>46123</v>
      </c>
      <c r="B56" s="2">
        <v>718.2</v>
      </c>
      <c r="C56">
        <f>MATCH(B56, $D$1:$D$195, 0)-1</f>
        <v>138</v>
      </c>
      <c r="D56">
        <v>636.63</v>
      </c>
      <c r="F56">
        <v>55</v>
      </c>
      <c r="G56" s="3" cm="1">
        <f t="array" ref="G56:H56">TRANSPOSE(_xlfn._xlws.FILTER($A$2:$A$2000, $C$2:$C$2000=F56))</f>
        <v>46222</v>
      </c>
      <c r="H56" s="3">
        <v>46228</v>
      </c>
      <c r="AA56" t="str" cm="1">
        <f t="array" ref="AA56">_xlfn.LET(_xlpm.dates, _xlfn._xlws.FILTER(G56:Z56, G56:Z56&lt;&gt;""),_xlpm.sorted,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"&amp;F56&amp;""": ["&amp;_xlpm.result&amp;"]")</f>
        <v>"Tier 55": [{"start": "2026-07-19", "end": "2026-07-19"},{"start": "2026-07-25", "end": "2026-07-25"}]</v>
      </c>
    </row>
    <row r="57" spans="1:27" x14ac:dyDescent="0.2">
      <c r="A57" s="3">
        <v>46124</v>
      </c>
      <c r="B57" s="2">
        <v>712.08</v>
      </c>
      <c r="C57">
        <f>MATCH(B57, $D$1:$D$195, 0)-1</f>
        <v>125</v>
      </c>
      <c r="D57">
        <v>638.14</v>
      </c>
      <c r="F57">
        <v>56</v>
      </c>
      <c r="G57" s="3" cm="1">
        <f t="array" ref="G57:H57">TRANSPOSE(_xlfn._xlws.FILTER($A$2:$A$2000, $C$2:$C$2000=F57))</f>
        <v>46231</v>
      </c>
      <c r="H57" s="3">
        <v>46234</v>
      </c>
      <c r="AA57" t="str" cm="1">
        <f t="array" ref="AA57">_xlfn.LET(_xlpm.dates, _xlfn._xlws.FILTER(G57:Z57, G57:Z57&lt;&gt;""),_xlpm.sorted,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"&amp;F57&amp;""": ["&amp;_xlpm.result&amp;"]")</f>
        <v>"Tier 56": [{"start": "2026-07-28", "end": "2026-07-28"},{"start": "2026-07-31", "end": "2026-07-31"}]</v>
      </c>
    </row>
    <row r="58" spans="1:27" x14ac:dyDescent="0.2">
      <c r="A58" s="3">
        <v>46125</v>
      </c>
      <c r="B58" s="2">
        <v>712.08</v>
      </c>
      <c r="C58">
        <f>MATCH(B58, $D$1:$D$195, 0)-1</f>
        <v>125</v>
      </c>
      <c r="D58">
        <v>640.41</v>
      </c>
      <c r="F58">
        <v>57</v>
      </c>
      <c r="G58" s="3" cm="1">
        <f t="array" ref="G58:I58">TRANSPOSE(_xlfn._xlws.FILTER($A$2:$A$2000, $C$2:$C$2000=F58))</f>
        <v>46221</v>
      </c>
      <c r="H58" s="3">
        <v>46223</v>
      </c>
      <c r="I58" s="3">
        <v>46233</v>
      </c>
      <c r="AA58" t="str" cm="1">
        <f t="array" ref="AA58">_xlfn.LET(_xlpm.dates, _xlfn._xlws.FILTER(G58:Z58, G58:Z58&lt;&gt;""),_xlpm.sorted,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"&amp;F58&amp;""": ["&amp;_xlpm.result&amp;"]")</f>
        <v>"Tier 57": [{"start": "2026-07-18", "end": "2026-07-18"},{"start": "2026-07-20", "end": "2026-07-20"},{"start": "2026-07-30", "end": "2026-07-30"}]</v>
      </c>
    </row>
    <row r="59" spans="1:27" x14ac:dyDescent="0.2">
      <c r="A59" s="3">
        <v>46126</v>
      </c>
      <c r="B59" s="2">
        <v>714.38</v>
      </c>
      <c r="C59">
        <f>MATCH(B59, $D$1:$D$195, 0)-1</f>
        <v>130</v>
      </c>
      <c r="D59">
        <v>642.65</v>
      </c>
      <c r="F59">
        <v>58</v>
      </c>
      <c r="G59" s="3" cm="1">
        <f t="array" ref="G59">TRANSPOSE(_xlfn._xlws.FILTER($A$2:$A$2000, $C$2:$C$2000=F59))</f>
        <v>46232</v>
      </c>
      <c r="AA59" t="str" cm="1">
        <f t="array" ref="AA59">_xlfn.LET(_xlpm.dates, _xlfn._xlws.FILTER(G59:Z59, G59:Z59&lt;&gt;""),_xlpm.sorted,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"&amp;F59&amp;""": ["&amp;_xlpm.result&amp;"]")</f>
        <v>"Tier 58": [{"start": "2026-07-29", "end": "2026-07-29"}]</v>
      </c>
    </row>
    <row r="60" spans="1:27" x14ac:dyDescent="0.2">
      <c r="A60" s="3">
        <v>46127</v>
      </c>
      <c r="B60" s="2">
        <v>720.49</v>
      </c>
      <c r="C60">
        <f>MATCH(B60, $D$1:$D$195, 0)-1</f>
        <v>141</v>
      </c>
      <c r="D60">
        <v>644.16999999999996</v>
      </c>
      <c r="F60">
        <v>59</v>
      </c>
      <c r="G60" s="3" cm="1">
        <f t="array" ref="G60:I60">TRANSPOSE(_xlfn._xlws.FILTER($A$2:$A$2000, $C$2:$C$2000=F60))</f>
        <v>46219</v>
      </c>
      <c r="H60" s="3">
        <v>46220</v>
      </c>
      <c r="I60" s="3">
        <v>46227</v>
      </c>
      <c r="AA60" t="str" cm="1">
        <f t="array" ref="AA60">_xlfn.LET(_xlpm.dates, _xlfn._xlws.FILTER(G60:Z60, G60:Z60&lt;&gt;""),_xlpm.sorted,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"&amp;F60&amp;""": ["&amp;_xlpm.result&amp;"]")</f>
        <v>"Tier 59": [{"start": "2026-07-16", "end": "2026-07-16"},{"start": "2026-07-17", "end": "2026-07-17"},{"start": "2026-07-24", "end": "2026-07-24"}]</v>
      </c>
    </row>
    <row r="61" spans="1:27" x14ac:dyDescent="0.2">
      <c r="A61" s="3">
        <v>46128</v>
      </c>
      <c r="B61" s="2">
        <v>724.3</v>
      </c>
      <c r="C61">
        <f>MATCH(B61, $D$1:$D$195, 0)-1</f>
        <v>147</v>
      </c>
      <c r="D61">
        <v>644.92999999999995</v>
      </c>
      <c r="F61">
        <v>60</v>
      </c>
      <c r="G61" s="3" cm="1">
        <f t="array" ref="G61">TRANSPOSE(_xlfn._xlws.FILTER($A$2:$A$2000, $C$2:$C$2000=F61))</f>
        <v>46215</v>
      </c>
      <c r="AA61" t="str" cm="1">
        <f t="array" ref="AA61">_xlfn.LET(_xlpm.dates, _xlfn._xlws.FILTER(G61:Z61, G61:Z61&lt;&gt;""),_xlpm.sorted,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"&amp;F61&amp;""": ["&amp;_xlpm.result&amp;"]")</f>
        <v>"Tier 60": [{"start": "2026-07-12", "end": "2026-07-12"}]</v>
      </c>
    </row>
    <row r="62" spans="1:27" x14ac:dyDescent="0.2">
      <c r="A62" s="3">
        <v>46129</v>
      </c>
      <c r="B62" s="2">
        <v>728.12</v>
      </c>
      <c r="C62">
        <f>MATCH(B62, $D$1:$D$195, 0)-1</f>
        <v>155</v>
      </c>
      <c r="D62">
        <v>646.83000000000004</v>
      </c>
      <c r="F62">
        <v>61</v>
      </c>
      <c r="G62" s="3" cm="1">
        <f t="array" ref="G62">TRANSPOSE(_xlfn._xlws.FILTER($A$2:$A$2000, $C$2:$C$2000=F62))</f>
        <v>46293</v>
      </c>
      <c r="AA62" t="str" cm="1">
        <f t="array" ref="AA62">_xlfn.LET(_xlpm.dates, _xlfn._xlws.FILTER(G62:Z62, G62:Z62&lt;&gt;""),_xlpm.sorted,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"&amp;F62&amp;""": ["&amp;_xlpm.result&amp;"]")</f>
        <v>"Tier 61": [{"start": "2026-09-28", "end": "2026-09-28"}]</v>
      </c>
    </row>
    <row r="63" spans="1:27" x14ac:dyDescent="0.2">
      <c r="A63" s="3">
        <v>46130</v>
      </c>
      <c r="B63" s="2">
        <v>722.01</v>
      </c>
      <c r="C63">
        <f>MATCH(B63, $D$1:$D$195, 0)-1</f>
        <v>144</v>
      </c>
      <c r="D63">
        <v>647.92999999999995</v>
      </c>
      <c r="F63">
        <v>62</v>
      </c>
      <c r="G63" s="3" cm="1">
        <f t="array" ref="G63:J63">TRANSPOSE(_xlfn._xlws.FILTER($A$2:$A$2000, $C$2:$C$2000=F63))</f>
        <v>46212</v>
      </c>
      <c r="H63" s="3">
        <v>46213</v>
      </c>
      <c r="I63" s="3">
        <v>46224</v>
      </c>
      <c r="J63" s="3">
        <v>46226</v>
      </c>
      <c r="AA63" t="str" cm="1">
        <f t="array" ref="AA63">_xlfn.LET(_xlpm.dates, _xlfn._xlws.FILTER(G63:Z63, G63:Z63&lt;&gt;""),_xlpm.sorted,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"&amp;F63&amp;""": ["&amp;_xlpm.result&amp;"]")</f>
        <v>"Tier 62": [{"start": "2026-07-09", "end": "2026-07-09"},{"start": "2026-07-10", "end": "2026-07-10"},{"start": "2026-07-21", "end": "2026-07-21"},{"start": "2026-07-23", "end": "2026-07-23"}]</v>
      </c>
    </row>
    <row r="64" spans="1:27" x14ac:dyDescent="0.2">
      <c r="A64" s="3">
        <v>46131</v>
      </c>
      <c r="B64" s="2">
        <v>715.9</v>
      </c>
      <c r="C64">
        <f>MATCH(B64, $D$1:$D$195, 0)-1</f>
        <v>134</v>
      </c>
      <c r="D64">
        <v>648.75</v>
      </c>
      <c r="F64">
        <v>63</v>
      </c>
      <c r="G64" s="3" cm="1">
        <f t="array" ref="G64">TRANSPOSE(_xlfn._xlws.FILTER($A$2:$A$2000, $C$2:$C$2000=F64))</f>
        <v>46216</v>
      </c>
      <c r="AA64" t="str" cm="1">
        <f t="array" ref="AA64">_xlfn.LET(_xlpm.dates, _xlfn._xlws.FILTER(G64:Z64, G64:Z64&lt;&gt;""),_xlpm.sorted,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"&amp;F64&amp;""": ["&amp;_xlpm.result&amp;"]")</f>
        <v>"Tier 63": [{"start": "2026-07-13", "end": "2026-07-13"}]</v>
      </c>
    </row>
    <row r="65" spans="1:27" x14ac:dyDescent="0.2">
      <c r="A65" s="3">
        <v>46132</v>
      </c>
      <c r="B65" s="2">
        <v>715.9</v>
      </c>
      <c r="C65">
        <f>MATCH(B65, $D$1:$D$195, 0)-1</f>
        <v>134</v>
      </c>
      <c r="D65">
        <v>651.71</v>
      </c>
      <c r="F65">
        <v>64</v>
      </c>
      <c r="G65" s="3" cm="1">
        <f t="array" ref="G65:H65">TRANSPOSE(_xlfn._xlws.FILTER($A$2:$A$2000, $C$2:$C$2000=F65))</f>
        <v>46211</v>
      </c>
      <c r="H65" s="3">
        <v>46225</v>
      </c>
      <c r="AA65" t="str" cm="1">
        <f t="array" ref="AA65">_xlfn.LET(_xlpm.dates, _xlfn._xlws.FILTER(G65:Z65, G65:Z65&lt;&gt;""),_xlpm.sorted,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"&amp;F65&amp;""": ["&amp;_xlpm.result&amp;"]")</f>
        <v>"Tier 64": [{"start": "2026-07-08", "end": "2026-07-08"},{"start": "2026-07-22", "end": "2026-07-22"}]</v>
      </c>
    </row>
    <row r="66" spans="1:27" x14ac:dyDescent="0.2">
      <c r="A66" s="3">
        <v>46133</v>
      </c>
      <c r="B66" s="2">
        <v>718.2</v>
      </c>
      <c r="C66">
        <f>MATCH(B66, $D$1:$D$195, 0)-1</f>
        <v>138</v>
      </c>
      <c r="D66">
        <v>652.55999999999995</v>
      </c>
      <c r="F66">
        <v>65</v>
      </c>
      <c r="G66" s="3" cm="1">
        <f t="array" ref="G66">TRANSPOSE(_xlfn._xlws.FILTER($A$2:$A$2000, $C$2:$C$2000=F66))</f>
        <v>46214</v>
      </c>
      <c r="AA66" t="str" cm="1">
        <f t="array" ref="AA66">_xlfn.LET(_xlpm.dates, _xlfn._xlws.FILTER(G66:Z66, G66:Z66&lt;&gt;""),_xlpm.sorted,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"&amp;F66&amp;""": ["&amp;_xlpm.result&amp;"]")</f>
        <v>"Tier 65": [{"start": "2026-07-11", "end": "2026-07-11"}]</v>
      </c>
    </row>
    <row r="67" spans="1:27" x14ac:dyDescent="0.2">
      <c r="A67" s="3">
        <v>46134</v>
      </c>
      <c r="B67" s="2">
        <v>720.49</v>
      </c>
      <c r="C67">
        <f>MATCH(B67, $D$1:$D$195, 0)-1</f>
        <v>141</v>
      </c>
      <c r="D67">
        <v>656.37</v>
      </c>
      <c r="F67">
        <v>66</v>
      </c>
      <c r="G67" s="3" cm="1">
        <f t="array" ref="G67:H67">TRANSPOSE(_xlfn._xlws.FILTER($A$2:$A$2000, $C$2:$C$2000=F67))</f>
        <v>46217</v>
      </c>
      <c r="H67" s="3">
        <v>46218</v>
      </c>
      <c r="AA67" t="str" cm="1">
        <f t="array" ref="AA67">_xlfn.LET(_xlpm.dates, _xlfn._xlws.FILTER(G67:Z67, G67:Z67&lt;&gt;""),_xlpm.sorted,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"&amp;F67&amp;""": ["&amp;_xlpm.result&amp;"]")</f>
        <v>"Tier 66": [{"start": "2026-07-14", "end": "2026-07-14"},{"start": "2026-07-15", "end": "2026-07-15"}]</v>
      </c>
    </row>
    <row r="68" spans="1:27" x14ac:dyDescent="0.2">
      <c r="A68" s="3">
        <v>46135</v>
      </c>
      <c r="B68" s="2">
        <v>719.71</v>
      </c>
      <c r="C68">
        <f>MATCH(B68, $D$1:$D$195, 0)-1</f>
        <v>139</v>
      </c>
      <c r="D68">
        <v>660.19</v>
      </c>
      <c r="F68">
        <v>67</v>
      </c>
      <c r="G68" s="3" cm="1">
        <f t="array" ref="G68">TRANSPOSE(_xlfn._xlws.FILTER($A$2:$A$2000, $C$2:$C$2000=F68))</f>
        <v>46210</v>
      </c>
      <c r="AA68" t="str" cm="1">
        <f t="array" ref="AA68">_xlfn.LET(_xlpm.dates, _xlfn._xlws.FILTER(G68:Z68, G68:Z68&lt;&gt;""),_xlpm.sorted,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"&amp;F68&amp;""": ["&amp;_xlpm.result&amp;"]")</f>
        <v>"Tier 67": [{"start": "2026-07-07", "end": "2026-07-07"}]</v>
      </c>
    </row>
    <row r="69" spans="1:27" x14ac:dyDescent="0.2">
      <c r="A69" s="3">
        <v>46136</v>
      </c>
      <c r="B69" s="2">
        <v>715.13</v>
      </c>
      <c r="C69">
        <f>MATCH(B69, $D$1:$D$195, 0)-1</f>
        <v>132</v>
      </c>
      <c r="D69">
        <v>660.96</v>
      </c>
      <c r="F69">
        <v>68</v>
      </c>
      <c r="G69" s="3" cm="1">
        <f t="array" ref="G69">TRANSPOSE(_xlfn._xlws.FILTER($A$2:$A$2000, $C$2:$C$2000=F69))</f>
        <v>46209</v>
      </c>
      <c r="AA69" t="str" cm="1">
        <f t="array" ref="AA69">_xlfn.LET(_xlpm.dates, _xlfn._xlws.FILTER(G69:Z69, G69:Z69&lt;&gt;""),_xlpm.sorted,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"&amp;F69&amp;""": ["&amp;_xlpm.result&amp;"]")</f>
        <v>"Tier 68": [{"start": "2026-07-06", "end": "2026-07-06"}]</v>
      </c>
    </row>
    <row r="70" spans="1:27" x14ac:dyDescent="0.2">
      <c r="A70" s="3">
        <v>46137</v>
      </c>
      <c r="B70" s="2">
        <v>700.64</v>
      </c>
      <c r="C70">
        <f>MATCH(B70, $D$1:$D$195, 0)-1</f>
        <v>104</v>
      </c>
      <c r="D70">
        <v>666.3</v>
      </c>
      <c r="F70">
        <v>69</v>
      </c>
      <c r="G70" s="3" cm="1">
        <f t="array" ref="G70">TRANSPOSE(_xlfn._xlws.FILTER($A$2:$A$2000, $C$2:$C$2000=F70))</f>
        <v>46208</v>
      </c>
      <c r="AA70" t="str" cm="1">
        <f t="array" ref="AA70">_xlfn.LET(_xlpm.dates, _xlfn._xlws.FILTER(G70:Z70, G70:Z70&lt;&gt;""),_xlpm.sorted,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"&amp;F70&amp;""": ["&amp;_xlpm.result&amp;"]")</f>
        <v>"Tier 69": [{"start": "2026-07-05", "end": "2026-07-05"}]</v>
      </c>
    </row>
    <row r="71" spans="1:27" x14ac:dyDescent="0.2">
      <c r="A71" s="3">
        <v>46138</v>
      </c>
      <c r="B71" s="1">
        <v>689.96</v>
      </c>
      <c r="C71">
        <f>MATCH(B71, $D$1:$D$195, 0)-1</f>
        <v>87</v>
      </c>
      <c r="D71">
        <v>672.11</v>
      </c>
      <c r="F71">
        <v>70</v>
      </c>
      <c r="G71" s="3" cm="1">
        <f t="array" ref="G71">TRANSPOSE(_xlfn._xlws.FILTER($A$2:$A$2000, $C$2:$C$2000=F71))</f>
        <v>46294</v>
      </c>
      <c r="AA71" t="str" cm="1">
        <f t="array" ref="AA71">_xlfn.LET(_xlpm.dates, _xlfn._xlws.FILTER(G71:Z71, G71:Z71&lt;&gt;""),_xlpm.sorted,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"&amp;F71&amp;""": ["&amp;_xlpm.result&amp;"]")</f>
        <v>"Tier 70": [{"start": "2026-09-29", "end": "2026-09-29"}]</v>
      </c>
    </row>
    <row r="72" spans="1:27" x14ac:dyDescent="0.2">
      <c r="A72" s="3">
        <v>46139</v>
      </c>
      <c r="B72" s="1">
        <v>685.38</v>
      </c>
      <c r="C72">
        <f>MATCH(B72, $D$1:$D$195, 0)-1</f>
        <v>82</v>
      </c>
      <c r="D72">
        <v>673.54</v>
      </c>
      <c r="F72">
        <v>71</v>
      </c>
      <c r="G72" s="3" cm="1">
        <f t="array" ref="G72">TRANSPOSE(_xlfn._xlws.FILTER($A$2:$A$2000, $C$2:$C$2000=F72))</f>
        <v>46145</v>
      </c>
      <c r="AA72" t="str" cm="1">
        <f t="array" ref="AA72">_xlfn.LET(_xlpm.dates, _xlfn._xlws.FILTER(G72:Z72, G72:Z72&lt;&gt;""),_xlpm.sorted,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"&amp;F72&amp;""": ["&amp;_xlpm.result&amp;"]")</f>
        <v>"Tier 71": [{"start": "2026-05-03", "end": "2026-05-03"}]</v>
      </c>
    </row>
    <row r="73" spans="1:27" x14ac:dyDescent="0.2">
      <c r="A73" s="3">
        <v>46140</v>
      </c>
      <c r="B73" s="1">
        <v>691.48</v>
      </c>
      <c r="C73">
        <f>MATCH(B73, $D$1:$D$195, 0)-1</f>
        <v>90</v>
      </c>
      <c r="D73">
        <v>674.3</v>
      </c>
      <c r="F73">
        <v>72</v>
      </c>
      <c r="G73" s="3" cm="1">
        <f t="array" ref="G73:I73">TRANSPOSE(_xlfn._xlws.FILTER($A$2:$A$2000, $C$2:$C$2000=F73))</f>
        <v>46181</v>
      </c>
      <c r="H73" s="3">
        <v>46187</v>
      </c>
      <c r="I73" s="3">
        <v>46188</v>
      </c>
      <c r="AA73" t="str" cm="1">
        <f t="array" ref="AA73">_xlfn.LET(_xlpm.dates, _xlfn._xlws.FILTER(G73:Z73, G73:Z73&lt;&gt;""),_xlpm.sorted,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"&amp;F73&amp;""": ["&amp;_xlpm.result&amp;"]")</f>
        <v>"Tier 72": [{"start": "2026-06-08", "end": "2026-06-08"},{"start": "2026-06-14", "end": "2026-06-14"},{"start": "2026-06-15", "end": "2026-06-15"}]</v>
      </c>
    </row>
    <row r="74" spans="1:27" x14ac:dyDescent="0.2">
      <c r="A74" s="3">
        <v>46141</v>
      </c>
      <c r="B74" s="1">
        <v>684.86</v>
      </c>
      <c r="C74">
        <f>MATCH(B74, $D$1:$D$195, 0)-1</f>
        <v>81</v>
      </c>
      <c r="D74">
        <v>678.08</v>
      </c>
      <c r="F74">
        <v>73</v>
      </c>
      <c r="G74" s="3" cm="1">
        <f t="array" ref="G74">TRANSPOSE(_xlfn._xlws.FILTER($A$2:$A$2000, $C$2:$C$2000=F74))</f>
        <v>46179</v>
      </c>
      <c r="AA74" t="str" cm="1">
        <f t="array" ref="AA74">_xlfn.LET(_xlpm.dates, _xlfn._xlws.FILTER(G74:Z74, G74:Z74&lt;&gt;""),_xlpm.sorted,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"&amp;F74&amp;""": ["&amp;_xlpm.result&amp;"]")</f>
        <v>"Tier 73": [{"start": "2026-06-06", "end": "2026-06-06"}]</v>
      </c>
    </row>
    <row r="75" spans="1:27" x14ac:dyDescent="0.2">
      <c r="A75" s="3">
        <v>46142</v>
      </c>
      <c r="B75" s="1">
        <v>707.5</v>
      </c>
      <c r="C75">
        <f>MATCH(B75, $D$1:$D$195, 0)-1</f>
        <v>117</v>
      </c>
      <c r="D75">
        <v>678.83</v>
      </c>
      <c r="F75">
        <v>74</v>
      </c>
      <c r="G75" s="3" cm="1">
        <f t="array" ref="G75">TRANSPOSE(_xlfn._xlws.FILTER($A$2:$A$2000, $C$2:$C$2000=F75))</f>
        <v>46173</v>
      </c>
      <c r="AA75" t="str" cm="1">
        <f t="array" ref="AA75">_xlfn.LET(_xlpm.dates, _xlfn._xlws.FILTER(G75:Z75, G75:Z75&lt;&gt;""),_xlpm.sorted,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"&amp;F75&amp;""": ["&amp;_xlpm.result&amp;"]")</f>
        <v>"Tier 74": [{"start": "2026-05-31", "end": "2026-05-31"}]</v>
      </c>
    </row>
    <row r="76" spans="1:27" x14ac:dyDescent="0.2">
      <c r="A76" s="3">
        <v>46143</v>
      </c>
      <c r="B76" s="2">
        <v>700.68</v>
      </c>
      <c r="C76">
        <f>MATCH(B76, $D$1:$D$195, 0)-1</f>
        <v>105</v>
      </c>
      <c r="D76">
        <v>679.27</v>
      </c>
      <c r="F76">
        <v>75</v>
      </c>
      <c r="G76" s="3" cm="1">
        <f t="array" ref="G76">TRANSPOSE(_xlfn._xlws.FILTER($A$2:$A$2000, $C$2:$C$2000=F76))</f>
        <v>46207</v>
      </c>
      <c r="AA76" t="str" cm="1">
        <f t="array" ref="AA76">_xlfn.LET(_xlpm.dates, _xlfn._xlws.FILTER(G76:Z76, G76:Z76&lt;&gt;""),_xlpm.sorted,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"&amp;F76&amp;""": ["&amp;_xlpm.result&amp;"]")</f>
        <v>"Tier 75": [{"start": "2026-07-04", "end": "2026-07-04"}]</v>
      </c>
    </row>
    <row r="77" spans="1:27" x14ac:dyDescent="0.2">
      <c r="A77" s="3">
        <v>46144</v>
      </c>
      <c r="B77" s="2">
        <v>696.05</v>
      </c>
      <c r="C77">
        <f>MATCH(B77, $D$1:$D$195, 0)-1</f>
        <v>96</v>
      </c>
      <c r="D77">
        <v>680.04</v>
      </c>
      <c r="F77">
        <v>76</v>
      </c>
      <c r="G77" s="3" cm="1">
        <f t="array" ref="G77">TRANSPOSE(_xlfn._xlws.FILTER($A$2:$A$2000, $C$2:$C$2000=F77))</f>
        <v>46159</v>
      </c>
      <c r="AA77" t="str" cm="1">
        <f t="array" ref="AA77">_xlfn.LET(_xlpm.dates, _xlfn._xlws.FILTER(G77:Z77, G77:Z77&lt;&gt;""),_xlpm.sorted,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"&amp;F77&amp;""": ["&amp;_xlpm.result&amp;"]")</f>
        <v>"Tier 76": [{"start": "2026-05-17", "end": "2026-05-17"}]</v>
      </c>
    </row>
    <row r="78" spans="1:27" x14ac:dyDescent="0.2">
      <c r="A78" s="3">
        <v>46145</v>
      </c>
      <c r="B78" s="2">
        <v>673.54</v>
      </c>
      <c r="C78">
        <f>MATCH(B78, $D$1:$D$195, 0)-1</f>
        <v>71</v>
      </c>
      <c r="D78">
        <v>681.84</v>
      </c>
      <c r="F78">
        <v>77</v>
      </c>
      <c r="G78" s="3" cm="1">
        <f t="array" ref="G78:M78">TRANSPOSE(_xlfn._xlws.FILTER($A$2:$A$2000, $C$2:$C$2000=F78))</f>
        <v>46174</v>
      </c>
      <c r="H78" s="3">
        <v>46175</v>
      </c>
      <c r="I78" s="3">
        <v>46176</v>
      </c>
      <c r="J78" s="3">
        <v>46177</v>
      </c>
      <c r="K78" s="3">
        <v>46182</v>
      </c>
      <c r="L78" s="3">
        <v>46186</v>
      </c>
      <c r="M78" s="3">
        <v>46189</v>
      </c>
      <c r="AA78" t="str" cm="1">
        <f t="array" ref="AA78">_xlfn.LET(_xlpm.dates, _xlfn._xlws.FILTER(G78:Z78, G78:Z78&lt;&gt;""),_xlpm.sorted,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"&amp;F78&amp;""": ["&amp;_xlpm.result&amp;"]")</f>
        <v>"Tier 77": [{"start": "2026-06-01", "end": "2026-06-01"},{"start": "2026-06-02", "end": "2026-06-02"},{"start": "2026-06-03", "end": "2026-06-03"},{"start": "2026-06-04", "end": "2026-06-04"},{"start": "2026-06-09", "end": "2026-06-09"},{"start": "2026-06-13", "end": "2026-06-13"},{"start": "2026-06-16", "end": "2026-06-16"}]</v>
      </c>
    </row>
    <row r="79" spans="1:27" x14ac:dyDescent="0.2">
      <c r="A79" s="3">
        <v>46146</v>
      </c>
      <c r="B79" s="2">
        <v>689.96</v>
      </c>
      <c r="C79">
        <f>MATCH(B79, $D$1:$D$195, 0)-1</f>
        <v>87</v>
      </c>
      <c r="D79">
        <v>682.33</v>
      </c>
      <c r="F79">
        <v>78</v>
      </c>
      <c r="G79" s="3" cm="1">
        <f t="array" ref="G79:H79">TRANSPOSE(_xlfn._xlws.FILTER($A$2:$A$2000, $C$2:$C$2000=F79))</f>
        <v>46082</v>
      </c>
      <c r="H79" s="3">
        <v>46083</v>
      </c>
      <c r="AA79" t="str" cm="1">
        <f t="array" ref="AA79">_xlfn.LET(_xlpm.dates, _xlfn._xlws.FILTER(G79:Z79, G79:Z79&lt;&gt;""),_xlpm.sorted,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"&amp;F79&amp;""": ["&amp;_xlpm.result&amp;"]")</f>
        <v>"Tier 78": [{"start": "2026-03-01", "end": "2026-03-01"},{"start": "2026-03-02", "end": "2026-03-02"}]</v>
      </c>
    </row>
    <row r="80" spans="1:27" x14ac:dyDescent="0.2">
      <c r="A80" s="3">
        <v>46147</v>
      </c>
      <c r="B80" s="2">
        <v>689.96</v>
      </c>
      <c r="C80">
        <f>MATCH(B80, $D$1:$D$195, 0)-1</f>
        <v>87</v>
      </c>
      <c r="D80">
        <v>683.08</v>
      </c>
      <c r="F80">
        <v>79</v>
      </c>
      <c r="G80" s="3" cm="1">
        <f t="array" ref="G80">TRANSPOSE(_xlfn._xlws.FILTER($A$2:$A$2000, $C$2:$C$2000=F80))</f>
        <v>46180</v>
      </c>
      <c r="AA80" t="str" cm="1">
        <f t="array" ref="AA80">_xlfn.LET(_xlpm.dates, _xlfn._xlws.FILTER(G80:Z80, G80:Z80&lt;&gt;""),_xlpm.sorted,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"&amp;F80&amp;""": ["&amp;_xlpm.result&amp;"]")</f>
        <v>"Tier 79": [{"start": "2026-06-07", "end": "2026-06-07"}]</v>
      </c>
    </row>
    <row r="81" spans="1:27" x14ac:dyDescent="0.2">
      <c r="A81" s="3">
        <v>46148</v>
      </c>
      <c r="B81" s="2">
        <v>697.59</v>
      </c>
      <c r="C81">
        <f>MATCH(B81, $D$1:$D$195, 0)-1</f>
        <v>99</v>
      </c>
      <c r="D81">
        <v>683.33</v>
      </c>
      <c r="F81">
        <v>80</v>
      </c>
      <c r="G81" s="3" cm="1">
        <f t="array" ref="G81">TRANSPOSE(_xlfn._xlws.FILTER($A$2:$A$2000, $C$2:$C$2000=F81))</f>
        <v>46172</v>
      </c>
      <c r="AA81" t="str" cm="1">
        <f t="array" ref="AA81">_xlfn.LET(_xlpm.dates, _xlfn._xlws.FILTER(G81:Z81, G81:Z81&lt;&gt;""),_xlpm.sorted,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"&amp;F81&amp;""": ["&amp;_xlpm.result&amp;"]")</f>
        <v>"Tier 80": [{"start": "2026-05-30", "end": "2026-05-30"}]</v>
      </c>
    </row>
    <row r="82" spans="1:27" x14ac:dyDescent="0.2">
      <c r="A82" s="3">
        <v>46149</v>
      </c>
      <c r="B82" s="2">
        <v>709.04</v>
      </c>
      <c r="C82">
        <f>MATCH(B82, $D$1:$D$195, 0)-1</f>
        <v>120</v>
      </c>
      <c r="D82">
        <v>684.86</v>
      </c>
      <c r="F82">
        <v>81</v>
      </c>
      <c r="G82" s="3" cm="1">
        <f t="array" ref="G82">TRANSPOSE(_xlfn._xlws.FILTER($A$2:$A$2000, $C$2:$C$2000=F82))</f>
        <v>46141</v>
      </c>
      <c r="AA82" t="str" cm="1">
        <f t="array" ref="AA82">_xlfn.LET(_xlpm.dates, _xlfn._xlws.FILTER(G82:Z82, G82:Z82&lt;&gt;""),_xlpm.sorted,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"&amp;F82&amp;""": ["&amp;_xlpm.result&amp;"]")</f>
        <v>"Tier 81": [{"start": "2026-04-29", "end": "2026-04-29"}]</v>
      </c>
    </row>
    <row r="83" spans="1:27" x14ac:dyDescent="0.2">
      <c r="A83" s="3">
        <v>46150</v>
      </c>
      <c r="B83" s="2">
        <v>712.85</v>
      </c>
      <c r="C83">
        <f>MATCH(B83, $D$1:$D$195, 0)-1</f>
        <v>127</v>
      </c>
      <c r="D83">
        <v>685.38</v>
      </c>
      <c r="F83">
        <v>82</v>
      </c>
      <c r="G83" s="3" cm="1">
        <f t="array" ref="G83">TRANSPOSE(_xlfn._xlws.FILTER($A$2:$A$2000, $C$2:$C$2000=F83))</f>
        <v>46139</v>
      </c>
      <c r="AA83" t="str" cm="1">
        <f t="array" ref="AA83">_xlfn.LET(_xlpm.dates, _xlfn._xlws.FILTER(G83:Z83, G83:Z83&lt;&gt;""),_xlpm.sorted,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"&amp;F83&amp;""": ["&amp;_xlpm.result&amp;"]")</f>
        <v>"Tier 82": [{"start": "2026-04-27", "end": "2026-04-27"}]</v>
      </c>
    </row>
    <row r="84" spans="1:27" x14ac:dyDescent="0.2">
      <c r="A84" s="3">
        <v>46151</v>
      </c>
      <c r="B84" s="2">
        <v>702.93</v>
      </c>
      <c r="C84">
        <f>MATCH(B84, $D$1:$D$195, 0)-1</f>
        <v>109</v>
      </c>
      <c r="D84">
        <v>685.61</v>
      </c>
      <c r="F84">
        <v>83</v>
      </c>
      <c r="G84" s="3" cm="1">
        <f t="array" ref="G84:L84">TRANSPOSE(_xlfn._xlws.FILTER($A$2:$A$2000, $C$2:$C$2000=F84))</f>
        <v>46183</v>
      </c>
      <c r="H84" s="3">
        <v>46184</v>
      </c>
      <c r="I84" s="3">
        <v>46185</v>
      </c>
      <c r="J84" s="3">
        <v>46190</v>
      </c>
      <c r="K84" s="3">
        <v>46193</v>
      </c>
      <c r="L84" s="3">
        <v>46194</v>
      </c>
      <c r="AA84" t="str" cm="1">
        <f t="array" ref="AA84">_xlfn.LET(_xlpm.dates, _xlfn._xlws.FILTER(G84:Z84, G84:Z84&lt;&gt;""),_xlpm.sorted,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"&amp;F84&amp;""": ["&amp;_xlpm.result&amp;"]")</f>
        <v>"Tier 83": [{"start": "2026-06-10", "end": "2026-06-10"},{"start": "2026-06-11", "end": "2026-06-11"},{"start": "2026-06-12", "end": "2026-06-12"},{"start": "2026-06-17", "end": "2026-06-17"},{"start": "2026-06-20", "end": "2026-06-20"},{"start": "2026-06-21", "end": "2026-06-21"}]</v>
      </c>
    </row>
    <row r="85" spans="1:27" x14ac:dyDescent="0.2">
      <c r="A85" s="3">
        <v>46152</v>
      </c>
      <c r="B85" s="2">
        <v>693.01</v>
      </c>
      <c r="C85">
        <f>MATCH(B85, $D$1:$D$195, 0)-1</f>
        <v>92</v>
      </c>
      <c r="D85">
        <v>686.13</v>
      </c>
      <c r="F85">
        <v>84</v>
      </c>
      <c r="G85" s="3" cm="1">
        <f t="array" ref="G85">TRANSPOSE(_xlfn._xlws.FILTER($A$2:$A$2000, $C$2:$C$2000=F85))</f>
        <v>46160</v>
      </c>
      <c r="AA85" t="str" cm="1">
        <f t="array" ref="AA85">_xlfn.LET(_xlpm.dates, _xlfn._xlws.FILTER(G85:Z85, G85:Z85&lt;&gt;""),_xlpm.sorted,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"&amp;F85&amp;""": ["&amp;_xlpm.result&amp;"]")</f>
        <v>"Tier 84": [{"start": "2026-05-18", "end": "2026-05-18"}]</v>
      </c>
    </row>
    <row r="86" spans="1:27" x14ac:dyDescent="0.2">
      <c r="A86" s="3">
        <v>46153</v>
      </c>
      <c r="B86" s="2">
        <v>691.48</v>
      </c>
      <c r="C86">
        <f>MATCH(B86, $D$1:$D$195, 0)-1</f>
        <v>90</v>
      </c>
      <c r="D86">
        <v>688.42</v>
      </c>
      <c r="F86">
        <v>85</v>
      </c>
      <c r="G86" s="3" cm="1">
        <f t="array" ref="G86:H86">TRANSPOSE(_xlfn._xlws.FILTER($A$2:$A$2000, $C$2:$C$2000=F86))</f>
        <v>46084</v>
      </c>
      <c r="H86" s="3">
        <v>46158</v>
      </c>
      <c r="AA86" t="str" cm="1">
        <f t="array" ref="AA86">_xlfn.LET(_xlpm.dates, _xlfn._xlws.FILTER(G86:Z86, G86:Z86&lt;&gt;""),_xlpm.sorted,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"&amp;F86&amp;""": ["&amp;_xlpm.result&amp;"]")</f>
        <v>"Tier 85": [{"start": "2026-03-03", "end": "2026-03-03"},{"start": "2026-05-16", "end": "2026-05-16"}]</v>
      </c>
    </row>
    <row r="87" spans="1:27" x14ac:dyDescent="0.2">
      <c r="A87" s="3">
        <v>46154</v>
      </c>
      <c r="B87" s="2">
        <v>696.05</v>
      </c>
      <c r="C87">
        <f>MATCH(B87, $D$1:$D$195, 0)-1</f>
        <v>96</v>
      </c>
      <c r="D87">
        <v>689.37</v>
      </c>
      <c r="F87">
        <v>86</v>
      </c>
      <c r="G87" s="3" cm="1">
        <f t="array" ref="G87:H87">TRANSPOSE(_xlfn._xlws.FILTER($A$2:$A$2000, $C$2:$C$2000=F87))</f>
        <v>46191</v>
      </c>
      <c r="H87" s="3">
        <v>46192</v>
      </c>
      <c r="AA87" t="str" cm="1">
        <f t="array" ref="AA87">_xlfn.LET(_xlpm.dates, _xlfn._xlws.FILTER(G87:Z87, G87:Z87&lt;&gt;""),_xlpm.sorted,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"&amp;F87&amp;""": ["&amp;_xlpm.result&amp;"]")</f>
        <v>"Tier 86": [{"start": "2026-06-18", "end": "2026-06-18"},{"start": "2026-06-19", "end": "2026-06-19"}]</v>
      </c>
    </row>
    <row r="88" spans="1:27" x14ac:dyDescent="0.2">
      <c r="A88" s="3">
        <v>46155</v>
      </c>
      <c r="B88" s="2">
        <v>700.64</v>
      </c>
      <c r="C88">
        <f>MATCH(B88, $D$1:$D$195, 0)-1</f>
        <v>104</v>
      </c>
      <c r="D88">
        <v>689.96</v>
      </c>
      <c r="F88">
        <v>87</v>
      </c>
      <c r="G88" s="3" cm="1">
        <f t="array" ref="G88:I88">TRANSPOSE(_xlfn._xlws.FILTER($A$2:$A$2000, $C$2:$C$2000=F88))</f>
        <v>46138</v>
      </c>
      <c r="H88" s="3">
        <v>46146</v>
      </c>
      <c r="I88" s="3">
        <v>46147</v>
      </c>
      <c r="AA88" t="str" cm="1">
        <f t="array" ref="AA88">_xlfn.LET(_xlpm.dates, _xlfn._xlws.FILTER(G88:Z88, G88:Z88&lt;&gt;""),_xlpm.sorted,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"&amp;F88&amp;""": ["&amp;_xlpm.result&amp;"]")</f>
        <v>"Tier 87": [{"start": "2026-04-26", "end": "2026-04-26"},{"start": "2026-05-04", "end": "2026-05-04"},{"start": "2026-05-05", "end": "2026-05-05"}]</v>
      </c>
    </row>
    <row r="89" spans="1:27" x14ac:dyDescent="0.2">
      <c r="A89" s="3">
        <v>46156</v>
      </c>
      <c r="B89" s="2">
        <v>696.82</v>
      </c>
      <c r="C89">
        <f>MATCH(B89, $D$1:$D$195, 0)-1</f>
        <v>97</v>
      </c>
      <c r="D89">
        <v>690.13</v>
      </c>
      <c r="F89">
        <v>88</v>
      </c>
      <c r="G89" s="3" cm="1">
        <f t="array" ref="G89">TRANSPOSE(_xlfn._xlws.FILTER($A$2:$A$2000, $C$2:$C$2000=F89))</f>
        <v>46195</v>
      </c>
      <c r="AA89" t="str" cm="1">
        <f t="array" ref="AA89">_xlfn.LET(_xlpm.dates, _xlfn._xlws.FILTER(G89:Z89, G89:Z89&lt;&gt;""),_xlpm.sorted,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"&amp;F89&amp;""": ["&amp;_xlpm.result&amp;"]")</f>
        <v>"Tier 88": [{"start": "2026-06-22", "end": "2026-06-22"}]</v>
      </c>
    </row>
    <row r="90" spans="1:27" x14ac:dyDescent="0.2">
      <c r="A90" s="3">
        <v>46157</v>
      </c>
      <c r="B90" s="2">
        <v>696.82</v>
      </c>
      <c r="C90">
        <f>MATCH(B90, $D$1:$D$195, 0)-1</f>
        <v>97</v>
      </c>
      <c r="D90">
        <v>690.71</v>
      </c>
      <c r="F90">
        <v>89</v>
      </c>
      <c r="G90" s="3" cm="1">
        <f t="array" ref="G90">TRANSPOSE(_xlfn._xlws.FILTER($A$2:$A$2000, $C$2:$C$2000=F90))</f>
        <v>46178</v>
      </c>
      <c r="AA90" t="str" cm="1">
        <f t="array" ref="AA90">_xlfn.LET(_xlpm.dates, _xlfn._xlws.FILTER(G90:Z90, G90:Z90&lt;&gt;""),_xlpm.sorted,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"&amp;F90&amp;""": ["&amp;_xlpm.result&amp;"]")</f>
        <v>"Tier 89": [{"start": "2026-06-05", "end": "2026-06-05"}]</v>
      </c>
    </row>
    <row r="91" spans="1:27" x14ac:dyDescent="0.2">
      <c r="A91" s="3">
        <v>46158</v>
      </c>
      <c r="B91" s="2">
        <v>688.42</v>
      </c>
      <c r="C91">
        <f>MATCH(B91, $D$1:$D$195, 0)-1</f>
        <v>85</v>
      </c>
      <c r="D91">
        <v>691.48</v>
      </c>
      <c r="F91">
        <v>90</v>
      </c>
      <c r="G91" s="3" cm="1">
        <f t="array" ref="G91:H91">TRANSPOSE(_xlfn._xlws.FILTER($A$2:$A$2000, $C$2:$C$2000=F91))</f>
        <v>46140</v>
      </c>
      <c r="H91" s="3">
        <v>46153</v>
      </c>
      <c r="AA91" t="str" cm="1">
        <f t="array" ref="AA91">_xlfn.LET(_xlpm.dates, _xlfn._xlws.FILTER(G91:Z91, G91:Z91&lt;&gt;""),_xlpm.sorted,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"&amp;F91&amp;""": ["&amp;_xlpm.result&amp;"]")</f>
        <v>"Tier 90": [{"start": "2026-04-28", "end": "2026-04-28"},{"start": "2026-05-11", "end": "2026-05-11"}]</v>
      </c>
    </row>
    <row r="92" spans="1:27" x14ac:dyDescent="0.2">
      <c r="A92" s="3">
        <v>46159</v>
      </c>
      <c r="B92" s="2">
        <v>680.04</v>
      </c>
      <c r="C92">
        <f>MATCH(B92, $D$1:$D$195, 0)-1</f>
        <v>76</v>
      </c>
      <c r="D92">
        <v>692.23</v>
      </c>
      <c r="F92">
        <v>91</v>
      </c>
      <c r="G92" s="3" cm="1">
        <f t="array" ref="G92">TRANSPOSE(_xlfn._xlws.FILTER($A$2:$A$2000, $C$2:$C$2000=F92))</f>
        <v>46206</v>
      </c>
      <c r="AA92" t="str" cm="1">
        <f t="array" ref="AA92">_xlfn.LET(_xlpm.dates, _xlfn._xlws.FILTER(G92:Z92, G92:Z92&lt;&gt;""),_xlpm.sorted,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"&amp;F92&amp;""": ["&amp;_xlpm.result&amp;"]")</f>
        <v>"Tier 91": [{"start": "2026-07-03", "end": "2026-07-03"}]</v>
      </c>
    </row>
    <row r="93" spans="1:27" x14ac:dyDescent="0.2">
      <c r="A93" s="3">
        <v>46160</v>
      </c>
      <c r="B93" s="2">
        <v>686.13</v>
      </c>
      <c r="C93">
        <f>MATCH(B93, $D$1:$D$195, 0)-1</f>
        <v>84</v>
      </c>
      <c r="D93">
        <v>693.01</v>
      </c>
      <c r="F93">
        <v>92</v>
      </c>
      <c r="G93" s="3" cm="1">
        <f t="array" ref="G93">TRANSPOSE(_xlfn._xlws.FILTER($A$2:$A$2000, $C$2:$C$2000=F93))</f>
        <v>46152</v>
      </c>
      <c r="AA93" t="str" cm="1">
        <f t="array" ref="AA93">_xlfn.LET(_xlpm.dates, _xlfn._xlws.FILTER(G93:Z93, G93:Z93&lt;&gt;""),_xlpm.sorted,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"&amp;F93&amp;""": ["&amp;_xlpm.result&amp;"]")</f>
        <v>"Tier 92": [{"start": "2026-05-10", "end": "2026-05-10"}]</v>
      </c>
    </row>
    <row r="94" spans="1:27" x14ac:dyDescent="0.2">
      <c r="A94" s="3">
        <v>46161</v>
      </c>
      <c r="B94" s="2">
        <v>700.64</v>
      </c>
      <c r="C94">
        <f>MATCH(B94, $D$1:$D$195, 0)-1</f>
        <v>104</v>
      </c>
      <c r="D94">
        <v>694.39</v>
      </c>
      <c r="F94">
        <v>93</v>
      </c>
      <c r="G94" s="3" cm="1">
        <f t="array" ref="G94">TRANSPOSE(_xlfn._xlws.FILTER($A$2:$A$2000, $C$2:$C$2000=F94))</f>
        <v>46295</v>
      </c>
      <c r="AA94" t="str" cm="1">
        <f t="array" ref="AA94">_xlfn.LET(_xlpm.dates, _xlfn._xlws.FILTER(G94:Z94, G94:Z94&lt;&gt;""),_xlpm.sorted,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"&amp;F94&amp;""": ["&amp;_xlpm.result&amp;"]")</f>
        <v>"Tier 93": [{"start": "2026-09-30", "end": "2026-09-30"}]</v>
      </c>
    </row>
    <row r="95" spans="1:27" x14ac:dyDescent="0.2">
      <c r="A95" s="3">
        <v>46162</v>
      </c>
      <c r="B95" s="2">
        <v>711.31</v>
      </c>
      <c r="C95">
        <f>MATCH(B95, $D$1:$D$195, 0)-1</f>
        <v>124</v>
      </c>
      <c r="D95">
        <v>694.64</v>
      </c>
      <c r="F95">
        <v>94</v>
      </c>
      <c r="G95" s="3" cm="1">
        <f t="array" ref="G95">TRANSPOSE(_xlfn._xlws.FILTER($A$2:$A$2000, $C$2:$C$2000=F95))</f>
        <v>46196</v>
      </c>
      <c r="AA95" t="str" cm="1">
        <f t="array" ref="AA95">_xlfn.LET(_xlpm.dates, _xlfn._xlws.FILTER(G95:Z95, G95:Z95&lt;&gt;""),_xlpm.sorted,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"&amp;F95&amp;""": ["&amp;_xlpm.result&amp;"]")</f>
        <v>"Tier 94": [{"start": "2026-06-23", "end": "2026-06-23"}]</v>
      </c>
    </row>
    <row r="96" spans="1:27" x14ac:dyDescent="0.2">
      <c r="A96" s="3">
        <v>46163</v>
      </c>
      <c r="B96" s="2">
        <v>719.71</v>
      </c>
      <c r="C96">
        <f>MATCH(B96, $D$1:$D$195, 0)-1</f>
        <v>139</v>
      </c>
      <c r="D96">
        <v>695.16</v>
      </c>
      <c r="F96">
        <v>95</v>
      </c>
      <c r="G96" s="3" cm="1">
        <f t="array" ref="G96">TRANSPOSE(_xlfn._xlws.FILTER($A$2:$A$2000, $C$2:$C$2000=F96))</f>
        <v>46320</v>
      </c>
      <c r="AA96" t="str" cm="1">
        <f t="array" ref="AA96">_xlfn.LET(_xlpm.dates, _xlfn._xlws.FILTER(G96:Z96, G96:Z96&lt;&gt;""),_xlpm.sorted,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"&amp;F96&amp;""": ["&amp;_xlpm.result&amp;"]")</f>
        <v>"Tier 95": [{"start": "2026-10-25", "end": "2026-10-25"}]</v>
      </c>
    </row>
    <row r="97" spans="1:27" x14ac:dyDescent="0.2">
      <c r="A97" s="3">
        <v>46164</v>
      </c>
      <c r="B97" s="2">
        <v>727.34</v>
      </c>
      <c r="C97">
        <f>MATCH(B97, $D$1:$D$195, 0)-1</f>
        <v>153</v>
      </c>
      <c r="D97">
        <v>696.05</v>
      </c>
      <c r="F97">
        <v>96</v>
      </c>
      <c r="G97" s="3" cm="1">
        <f t="array" ref="G97:I97">TRANSPOSE(_xlfn._xlws.FILTER($A$2:$A$2000, $C$2:$C$2000=F97))</f>
        <v>46144</v>
      </c>
      <c r="H97" s="3">
        <v>46154</v>
      </c>
      <c r="I97" s="3">
        <v>46202</v>
      </c>
      <c r="AA97" t="str" cm="1">
        <f t="array" ref="AA97">_xlfn.LET(_xlpm.dates, _xlfn._xlws.FILTER(G97:Z97, G97:Z97&lt;&gt;""),_xlpm.sorted,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"&amp;F97&amp;""": ["&amp;_xlpm.result&amp;"]")</f>
        <v>"Tier 96": [{"start": "2026-05-02", "end": "2026-05-02"},{"start": "2026-05-12", "end": "2026-05-12"},{"start": "2026-06-29", "end": "2026-06-29"}]</v>
      </c>
    </row>
    <row r="98" spans="1:27" x14ac:dyDescent="0.2">
      <c r="A98" s="3">
        <v>46165</v>
      </c>
      <c r="B98" s="2">
        <v>724.3</v>
      </c>
      <c r="C98">
        <f>MATCH(B98, $D$1:$D$195, 0)-1</f>
        <v>147</v>
      </c>
      <c r="D98">
        <v>696.82</v>
      </c>
      <c r="F98">
        <v>97</v>
      </c>
      <c r="G98" s="3" cm="1">
        <f t="array" ref="G98:I98">TRANSPOSE(_xlfn._xlws.FILTER($A$2:$A$2000, $C$2:$C$2000=F98))</f>
        <v>46156</v>
      </c>
      <c r="H98" s="3">
        <v>46157</v>
      </c>
      <c r="I98" s="3">
        <v>46201</v>
      </c>
      <c r="AA98" t="str" cm="1">
        <f t="array" ref="AA98">_xlfn.LET(_xlpm.dates, _xlfn._xlws.FILTER(G98:Z98, G98:Z98&lt;&gt;""),_xlpm.sorted,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"&amp;F98&amp;""": ["&amp;_xlpm.result&amp;"]")</f>
        <v>"Tier 97": [{"start": "2026-05-14", "end": "2026-05-14"},{"start": "2026-05-15", "end": "2026-05-15"},{"start": "2026-06-28", "end": "2026-06-28"}]</v>
      </c>
    </row>
    <row r="99" spans="1:27" x14ac:dyDescent="0.2">
      <c r="A99" s="3">
        <v>46166</v>
      </c>
      <c r="B99" s="2">
        <v>721.24</v>
      </c>
      <c r="C99">
        <f>MATCH(B99, $D$1:$D$195, 0)-1</f>
        <v>143</v>
      </c>
      <c r="D99">
        <v>697.46</v>
      </c>
      <c r="F99">
        <v>98</v>
      </c>
      <c r="G99" s="3" cm="1">
        <f t="array" ref="G99">TRANSPOSE(_xlfn._xlws.FILTER($A$2:$A$2000, $C$2:$C$2000=F99))</f>
        <v>46327</v>
      </c>
      <c r="AA99" t="str" cm="1">
        <f t="array" ref="AA99">_xlfn.LET(_xlpm.dates, _xlfn._xlws.FILTER(G99:Z99, G99:Z99&lt;&gt;""),_xlpm.sorted,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"&amp;F99&amp;""": ["&amp;_xlpm.result&amp;"]")</f>
        <v>"Tier 98": [{"start": "2026-11-01", "end": "2026-11-01"}]</v>
      </c>
    </row>
    <row r="100" spans="1:27" x14ac:dyDescent="0.2">
      <c r="A100" s="3">
        <v>46167</v>
      </c>
      <c r="B100" s="2">
        <v>718.2</v>
      </c>
      <c r="C100">
        <f>MATCH(B100, $D$1:$D$195, 0)-1</f>
        <v>138</v>
      </c>
      <c r="D100">
        <v>697.59</v>
      </c>
      <c r="F100">
        <v>99</v>
      </c>
      <c r="G100" s="3" cm="1">
        <f t="array" ref="G100">TRANSPOSE(_xlfn._xlws.FILTER($A$2:$A$2000, $C$2:$C$2000=F100))</f>
        <v>46148</v>
      </c>
      <c r="AA100" t="str" cm="1">
        <f t="array" ref="AA100">_xlfn.LET(_xlpm.dates, _xlfn._xlws.FILTER(G100:Z100, G100:Z100&lt;&gt;""),_xlpm.sorted,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"&amp;F100&amp;""": ["&amp;_xlpm.result&amp;"]")</f>
        <v>"Tier 99": [{"start": "2026-05-06", "end": "2026-05-06"}]</v>
      </c>
    </row>
    <row r="101" spans="1:27" x14ac:dyDescent="0.2">
      <c r="A101" s="3">
        <v>46168</v>
      </c>
      <c r="B101" s="2">
        <v>714.38</v>
      </c>
      <c r="C101">
        <f>MATCH(B101, $D$1:$D$195, 0)-1</f>
        <v>130</v>
      </c>
      <c r="D101">
        <v>698.23</v>
      </c>
      <c r="F101">
        <v>100</v>
      </c>
      <c r="G101" s="3" cm="1">
        <f t="array" ref="G101">TRANSPOSE(_xlfn._xlws.FILTER($A$2:$A$2000, $C$2:$C$2000=F101))</f>
        <v>46081</v>
      </c>
      <c r="AA101" t="str" cm="1">
        <f t="array" ref="AA101">_xlfn.LET(_xlpm.dates, _xlfn._xlws.FILTER(G101:Z101, G101:Z101&lt;&gt;""),_xlpm.sorted,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"&amp;F101&amp;""": ["&amp;_xlpm.result&amp;"]")</f>
        <v>"Tier 100": [{"start": "2026-02-28", "end": "2026-02-28"}]</v>
      </c>
    </row>
    <row r="102" spans="1:27" x14ac:dyDescent="0.2">
      <c r="A102" s="3">
        <v>46169</v>
      </c>
      <c r="B102" s="2">
        <v>707.5</v>
      </c>
      <c r="C102">
        <f>MATCH(B102, $D$1:$D$195, 0)-1</f>
        <v>117</v>
      </c>
      <c r="D102">
        <v>698.35</v>
      </c>
      <c r="F102">
        <v>101</v>
      </c>
      <c r="G102" s="3" cm="1">
        <f t="array" ref="G102">TRANSPOSE(_xlfn._xlws.FILTER($A$2:$A$2000, $C$2:$C$2000=F102))</f>
        <v>46205</v>
      </c>
      <c r="AA102" t="str" cm="1">
        <f t="array" ref="AA102">_xlfn.LET(_xlpm.dates, _xlfn._xlws.FILTER(G102:Z102, G102:Z102&lt;&gt;""),_xlpm.sorted,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"&amp;F102&amp;""": ["&amp;_xlpm.result&amp;"]")</f>
        <v>"Tier 101": [{"start": "2026-07-02", "end": "2026-07-02"}]</v>
      </c>
    </row>
    <row r="103" spans="1:27" x14ac:dyDescent="0.2">
      <c r="A103" s="3">
        <v>46170</v>
      </c>
      <c r="B103" s="2">
        <v>703.7</v>
      </c>
      <c r="C103">
        <f>MATCH(B103, $D$1:$D$195, 0)-1</f>
        <v>111</v>
      </c>
      <c r="D103">
        <v>699.12</v>
      </c>
      <c r="F103">
        <v>102</v>
      </c>
      <c r="G103" s="3" cm="1">
        <f t="array" ref="G103">TRANSPOSE(_xlfn._xlws.FILTER($A$2:$A$2000, $C$2:$C$2000=F103))</f>
        <v>46204</v>
      </c>
      <c r="AA103" t="str" cm="1">
        <f t="array" ref="AA103">_xlfn.LET(_xlpm.dates, _xlfn._xlws.FILTER(G103:Z103, G103:Z103&lt;&gt;""),_xlpm.sorted,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"&amp;F103&amp;""": ["&amp;_xlpm.result&amp;"]")</f>
        <v>"Tier 102": [{"start": "2026-07-01", "end": "2026-07-01"}]</v>
      </c>
    </row>
    <row r="104" spans="1:27" x14ac:dyDescent="0.2">
      <c r="A104" s="3">
        <v>46171</v>
      </c>
      <c r="B104" s="2">
        <v>699.87</v>
      </c>
      <c r="C104">
        <f>MATCH(B104, $D$1:$D$195, 0)-1</f>
        <v>103</v>
      </c>
      <c r="D104">
        <v>699.87</v>
      </c>
      <c r="F104">
        <v>103</v>
      </c>
      <c r="G104" s="3" cm="1">
        <f t="array" ref="G104:H104">TRANSPOSE(_xlfn._xlws.FILTER($A$2:$A$2000, $C$2:$C$2000=F104))</f>
        <v>46171</v>
      </c>
      <c r="H104" s="3">
        <v>46203</v>
      </c>
      <c r="AA104" t="str" cm="1">
        <f t="array" ref="AA104">_xlfn.LET(_xlpm.dates, _xlfn._xlws.FILTER(G104:Z104, G104:Z104&lt;&gt;""),_xlpm.sorted,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"&amp;F104&amp;""": ["&amp;_xlpm.result&amp;"]")</f>
        <v>"Tier 103": [{"start": "2026-05-29", "end": "2026-05-29"},{"start": "2026-06-30", "end": "2026-06-30"}]</v>
      </c>
    </row>
    <row r="105" spans="1:27" x14ac:dyDescent="0.2">
      <c r="A105" s="3">
        <v>46172</v>
      </c>
      <c r="B105" s="2">
        <v>683.33</v>
      </c>
      <c r="C105">
        <f>MATCH(B105, $D$1:$D$195, 0)-1</f>
        <v>80</v>
      </c>
      <c r="D105">
        <v>700.64</v>
      </c>
      <c r="F105">
        <v>104</v>
      </c>
      <c r="G105" s="3" cm="1">
        <f t="array" ref="G105:I105">TRANSPOSE(_xlfn._xlws.FILTER($A$2:$A$2000, $C$2:$C$2000=F105))</f>
        <v>46137</v>
      </c>
      <c r="H105" s="3">
        <v>46155</v>
      </c>
      <c r="I105" s="3">
        <v>46161</v>
      </c>
      <c r="AA105" t="str" cm="1">
        <f t="array" ref="AA105">_xlfn.LET(_xlpm.dates, _xlfn._xlws.FILTER(G105:Z105, G105:Z105&lt;&gt;""),_xlpm.sorted,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"&amp;F105&amp;""": ["&amp;_xlpm.result&amp;"]")</f>
        <v>"Tier 104": [{"start": "2026-04-25", "end": "2026-04-25"},{"start": "2026-05-13", "end": "2026-05-13"},{"start": "2026-05-19", "end": "2026-05-19"}]</v>
      </c>
    </row>
    <row r="106" spans="1:27" x14ac:dyDescent="0.2">
      <c r="A106" s="3">
        <v>46173</v>
      </c>
      <c r="B106" s="1">
        <v>678.83</v>
      </c>
      <c r="C106">
        <f>MATCH(B106, $D$1:$D$195, 0)-1</f>
        <v>74</v>
      </c>
      <c r="D106">
        <v>700.68</v>
      </c>
      <c r="F106">
        <v>105</v>
      </c>
      <c r="G106" s="3" cm="1">
        <f t="array" ref="G106">TRANSPOSE(_xlfn._xlws.FILTER($A$2:$A$2000, $C$2:$C$2000=F106))</f>
        <v>46143</v>
      </c>
      <c r="AA106" t="str" cm="1">
        <f t="array" ref="AA106">_xlfn.LET(_xlpm.dates, _xlfn._xlws.FILTER(G106:Z106, G106:Z106&lt;&gt;""),_xlpm.sorted,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"&amp;F106&amp;""": ["&amp;_xlpm.result&amp;"]")</f>
        <v>"Tier 105": [{"start": "2026-05-01", "end": "2026-05-01"}]</v>
      </c>
    </row>
    <row r="107" spans="1:27" x14ac:dyDescent="0.2">
      <c r="A107" s="3">
        <v>46174</v>
      </c>
      <c r="B107" s="2">
        <v>681.84</v>
      </c>
      <c r="C107">
        <f>MATCH(B107, $D$1:$D$195, 0)-1</f>
        <v>77</v>
      </c>
      <c r="D107">
        <v>701.29</v>
      </c>
      <c r="F107">
        <v>106</v>
      </c>
      <c r="G107" s="3" cm="1">
        <f t="array" ref="G107">TRANSPOSE(_xlfn._xlws.FILTER($A$2:$A$2000, $C$2:$C$2000=F107))</f>
        <v>46328</v>
      </c>
      <c r="AA107" t="str" cm="1">
        <f t="array" ref="AA107">_xlfn.LET(_xlpm.dates, _xlfn._xlws.FILTER(G107:Z107, G107:Z107&lt;&gt;""),_xlpm.sorted,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"&amp;F107&amp;""": ["&amp;_xlpm.result&amp;"]")</f>
        <v>"Tier 106": [{"start": "2026-11-02", "end": "2026-11-02"}]</v>
      </c>
    </row>
    <row r="108" spans="1:27" x14ac:dyDescent="0.2">
      <c r="A108" s="3">
        <v>46175</v>
      </c>
      <c r="B108" s="2">
        <v>681.84</v>
      </c>
      <c r="C108">
        <f>MATCH(B108, $D$1:$D$195, 0)-1</f>
        <v>77</v>
      </c>
      <c r="D108">
        <v>702.08</v>
      </c>
      <c r="F108">
        <v>107</v>
      </c>
      <c r="G108" s="3" cm="1">
        <f t="array" ref="G108:J108">TRANSPOSE(_xlfn._xlws.FILTER($A$2:$A$2000, $C$2:$C$2000=F108))</f>
        <v>46296</v>
      </c>
      <c r="H108" s="3">
        <v>46319</v>
      </c>
      <c r="I108" s="3">
        <v>46321</v>
      </c>
      <c r="J108" s="3">
        <v>46335</v>
      </c>
      <c r="AA108" t="str" cm="1">
        <f t="array" ref="AA108">_xlfn.LET(_xlpm.dates, _xlfn._xlws.FILTER(G108:Z108, G108:Z108&lt;&gt;""),_xlpm.sorted,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"&amp;F108&amp;""": ["&amp;_xlpm.result&amp;"]")</f>
        <v>"Tier 107": [{"start": "2026-10-01", "end": "2026-10-01"},{"start": "2026-10-24", "end": "2026-10-24"},{"start": "2026-10-26", "end": "2026-10-26"},{"start": "2026-11-09", "end": "2026-11-09"}]</v>
      </c>
    </row>
    <row r="109" spans="1:27" x14ac:dyDescent="0.2">
      <c r="A109" s="3">
        <v>46176</v>
      </c>
      <c r="B109" s="2">
        <v>681.84</v>
      </c>
      <c r="C109">
        <f>MATCH(B109, $D$1:$D$195, 0)-1</f>
        <v>77</v>
      </c>
      <c r="D109">
        <v>702.16</v>
      </c>
      <c r="F109">
        <v>108</v>
      </c>
      <c r="G109" s="3" cm="1">
        <f t="array" ref="G109">TRANSPOSE(_xlfn._xlws.FILTER($A$2:$A$2000, $C$2:$C$2000=F109))</f>
        <v>46085</v>
      </c>
      <c r="AA109" t="str" cm="1">
        <f t="array" ref="AA109">_xlfn.LET(_xlpm.dates, _xlfn._xlws.FILTER(G109:Z109, G109:Z109&lt;&gt;""),_xlpm.sorted,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"&amp;F109&amp;""": ["&amp;_xlpm.result&amp;"]")</f>
        <v>"Tier 108": [{"start": "2026-03-04", "end": "2026-03-04"}]</v>
      </c>
    </row>
    <row r="110" spans="1:27" x14ac:dyDescent="0.2">
      <c r="A110" s="3">
        <v>46177</v>
      </c>
      <c r="B110" s="2">
        <v>681.84</v>
      </c>
      <c r="C110">
        <f>MATCH(B110, $D$1:$D$195, 0)-1</f>
        <v>77</v>
      </c>
      <c r="D110">
        <v>702.93</v>
      </c>
      <c r="F110">
        <v>109</v>
      </c>
      <c r="G110" s="3" cm="1">
        <f t="array" ref="G110">TRANSPOSE(_xlfn._xlws.FILTER($A$2:$A$2000, $C$2:$C$2000=F110))</f>
        <v>46151</v>
      </c>
      <c r="AA110" t="str" cm="1">
        <f t="array" ref="AA110">_xlfn.LET(_xlpm.dates, _xlfn._xlws.FILTER(G110:Z110, G110:Z110&lt;&gt;""),_xlpm.sorted,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"&amp;F110&amp;""": ["&amp;_xlpm.result&amp;"]")</f>
        <v>"Tier 109": [{"start": "2026-05-09", "end": "2026-05-09"}]</v>
      </c>
    </row>
    <row r="111" spans="1:27" x14ac:dyDescent="0.2">
      <c r="A111" s="3">
        <v>46178</v>
      </c>
      <c r="B111" s="2">
        <v>690.71</v>
      </c>
      <c r="C111">
        <f>MATCH(B111, $D$1:$D$195, 0)-1</f>
        <v>89</v>
      </c>
      <c r="D111">
        <v>702.94</v>
      </c>
      <c r="F111">
        <v>110</v>
      </c>
      <c r="G111" s="3" cm="1">
        <f t="array" ref="G111">TRANSPOSE(_xlfn._xlws.FILTER($A$2:$A$2000, $C$2:$C$2000=F111))</f>
        <v>46197</v>
      </c>
      <c r="AA111" t="str" cm="1">
        <f t="array" ref="AA111">_xlfn.LET(_xlpm.dates, _xlfn._xlws.FILTER(G111:Z111, G111:Z111&lt;&gt;""),_xlpm.sorted,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"&amp;F111&amp;""": ["&amp;_xlpm.result&amp;"]")</f>
        <v>"Tier 110": [{"start": "2026-06-24", "end": "2026-06-24"}]</v>
      </c>
    </row>
    <row r="112" spans="1:27" x14ac:dyDescent="0.2">
      <c r="A112" s="3">
        <v>46179</v>
      </c>
      <c r="B112" s="2">
        <v>678.08</v>
      </c>
      <c r="C112">
        <f>MATCH(B112, $D$1:$D$195, 0)-1</f>
        <v>73</v>
      </c>
      <c r="D112">
        <v>703.7</v>
      </c>
      <c r="F112">
        <v>111</v>
      </c>
      <c r="G112" s="3" cm="1">
        <f t="array" ref="G112">TRANSPOSE(_xlfn._xlws.FILTER($A$2:$A$2000, $C$2:$C$2000=F112))</f>
        <v>46170</v>
      </c>
      <c r="AA112" t="str" cm="1">
        <f t="array" ref="AA112">_xlfn.LET(_xlpm.dates, _xlfn._xlws.FILTER(G112:Z112, G112:Z112&lt;&gt;""),_xlpm.sorted,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"&amp;F112&amp;""": ["&amp;_xlpm.result&amp;"]")</f>
        <v>"Tier 111": [{"start": "2026-05-28", "end": "2026-05-28"}]</v>
      </c>
    </row>
    <row r="113" spans="1:27" x14ac:dyDescent="0.2">
      <c r="A113" s="3">
        <v>46180</v>
      </c>
      <c r="B113" s="2">
        <v>683.08</v>
      </c>
      <c r="C113">
        <f>MATCH(B113, $D$1:$D$195, 0)-1</f>
        <v>79</v>
      </c>
      <c r="D113">
        <v>704.45</v>
      </c>
      <c r="F113">
        <v>112</v>
      </c>
      <c r="G113" s="3" cm="1">
        <f t="array" ref="G113">TRANSPOSE(_xlfn._xlws.FILTER($A$2:$A$2000, $C$2:$C$2000=F113))</f>
        <v>46200</v>
      </c>
      <c r="AA113" t="str" cm="1">
        <f t="array" ref="AA113">_xlfn.LET(_xlpm.dates, _xlfn._xlws.FILTER(G113:Z113, G113:Z113&lt;&gt;""),_xlpm.sorted,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"&amp;F113&amp;""": ["&amp;_xlpm.result&amp;"]")</f>
        <v>"Tier 112": [{"start": "2026-06-27", "end": "2026-06-27"}]</v>
      </c>
    </row>
    <row r="114" spans="1:27" x14ac:dyDescent="0.2">
      <c r="A114" s="3">
        <v>46181</v>
      </c>
      <c r="B114" s="2">
        <v>674.3</v>
      </c>
      <c r="C114">
        <f>MATCH(B114, $D$1:$D$195, 0)-1</f>
        <v>72</v>
      </c>
      <c r="D114">
        <v>705.13</v>
      </c>
      <c r="F114">
        <v>113</v>
      </c>
      <c r="G114" s="3" cm="1">
        <f t="array" ref="G114">TRANSPOSE(_xlfn._xlws.FILTER($A$2:$A$2000, $C$2:$C$2000=F114))</f>
        <v>46299</v>
      </c>
      <c r="AA114" t="str" cm="1">
        <f t="array" ref="AA114">_xlfn.LET(_xlpm.dates, _xlfn._xlws.FILTER(G114:Z114, G114:Z114&lt;&gt;""),_xlpm.sorted,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"&amp;F114&amp;""": ["&amp;_xlpm.result&amp;"]")</f>
        <v>"Tier 113": [{"start": "2026-10-04", "end": "2026-10-04"}]</v>
      </c>
    </row>
    <row r="115" spans="1:27" x14ac:dyDescent="0.2">
      <c r="A115" s="3">
        <v>46182</v>
      </c>
      <c r="B115" s="2">
        <v>681.84</v>
      </c>
      <c r="C115">
        <f>MATCH(B115, $D$1:$D$195, 0)-1</f>
        <v>77</v>
      </c>
      <c r="D115">
        <v>705.91</v>
      </c>
      <c r="F115">
        <v>114</v>
      </c>
      <c r="G115" s="3" cm="1">
        <f t="array" ref="G115">TRANSPOSE(_xlfn._xlws.FILTER($A$2:$A$2000, $C$2:$C$2000=F115))</f>
        <v>46326</v>
      </c>
      <c r="AA115" t="str" cm="1">
        <f t="array" ref="AA115">_xlfn.LET(_xlpm.dates, _xlfn._xlws.FILTER(G115:Z115, G115:Z115&lt;&gt;""),_xlpm.sorted,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"&amp;F115&amp;""": ["&amp;_xlpm.result&amp;"]")</f>
        <v>"Tier 114": [{"start": "2026-10-31", "end": "2026-10-31"}]</v>
      </c>
    </row>
    <row r="116" spans="1:27" x14ac:dyDescent="0.2">
      <c r="A116" s="3">
        <v>46183</v>
      </c>
      <c r="B116" s="2">
        <v>685.61</v>
      </c>
      <c r="C116">
        <f>MATCH(B116, $D$1:$D$195, 0)-1</f>
        <v>83</v>
      </c>
      <c r="D116">
        <v>706.67</v>
      </c>
      <c r="F116">
        <v>115</v>
      </c>
      <c r="G116" s="3" cm="1">
        <f t="array" ref="G116:H116">TRANSPOSE(_xlfn._xlws.FILTER($A$2:$A$2000, $C$2:$C$2000=F116))</f>
        <v>46297</v>
      </c>
      <c r="H116" s="3">
        <v>46334</v>
      </c>
      <c r="AA116" t="str" cm="1">
        <f t="array" ref="AA116">_xlfn.LET(_xlpm.dates, _xlfn._xlws.FILTER(G116:Z116, G116:Z116&lt;&gt;""),_xlpm.sorted,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"&amp;F116&amp;""": ["&amp;_xlpm.result&amp;"]")</f>
        <v>"Tier 115": [{"start": "2026-10-02", "end": "2026-10-02"},{"start": "2026-11-08", "end": "2026-11-08"}]</v>
      </c>
    </row>
    <row r="117" spans="1:27" x14ac:dyDescent="0.2">
      <c r="A117" s="3">
        <v>46184</v>
      </c>
      <c r="B117" s="2">
        <v>685.61</v>
      </c>
      <c r="C117">
        <f>MATCH(B117, $D$1:$D$195, 0)-1</f>
        <v>83</v>
      </c>
      <c r="D117">
        <v>706.71</v>
      </c>
      <c r="F117">
        <v>116</v>
      </c>
      <c r="G117" s="3" cm="1">
        <f t="array" ref="G117">TRANSPOSE(_xlfn._xlws.FILTER($A$2:$A$2000, $C$2:$C$2000=F117))</f>
        <v>46198</v>
      </c>
      <c r="AA117" t="str" cm="1">
        <f t="array" ref="AA117">_xlfn.LET(_xlpm.dates, _xlfn._xlws.FILTER(G117:Z117, G117:Z117&lt;&gt;""),_xlpm.sorted,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"&amp;F117&amp;""": ["&amp;_xlpm.result&amp;"]")</f>
        <v>"Tier 116": [{"start": "2026-06-25", "end": "2026-06-25"}]</v>
      </c>
    </row>
    <row r="118" spans="1:27" x14ac:dyDescent="0.2">
      <c r="A118" s="3">
        <v>46185</v>
      </c>
      <c r="B118" s="2">
        <v>685.61</v>
      </c>
      <c r="C118">
        <f>MATCH(B118, $D$1:$D$195, 0)-1</f>
        <v>83</v>
      </c>
      <c r="D118">
        <v>707.5</v>
      </c>
      <c r="F118">
        <v>117</v>
      </c>
      <c r="G118" s="3" cm="1">
        <f t="array" ref="G118:I118">TRANSPOSE(_xlfn._xlws.FILTER($A$2:$A$2000, $C$2:$C$2000=F118))</f>
        <v>46104</v>
      </c>
      <c r="H118" s="3">
        <v>46142</v>
      </c>
      <c r="I118" s="3">
        <v>46169</v>
      </c>
      <c r="AA118" t="str" cm="1">
        <f t="array" ref="AA118">_xlfn.LET(_xlpm.dates, _xlfn._xlws.FILTER(G118:Z118, G118:Z118&lt;&gt;""),_xlpm.sorted,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"&amp;F118&amp;""": ["&amp;_xlpm.result&amp;"]")</f>
        <v>"Tier 117": [{"start": "2026-03-23", "end": "2026-03-23"},{"start": "2026-04-30", "end": "2026-04-30"},{"start": "2026-05-27", "end": "2026-05-27"}]</v>
      </c>
    </row>
    <row r="119" spans="1:27" x14ac:dyDescent="0.2">
      <c r="A119" s="3">
        <v>46186</v>
      </c>
      <c r="B119" s="2">
        <v>681.84</v>
      </c>
      <c r="C119">
        <f>MATCH(B119, $D$1:$D$195, 0)-1</f>
        <v>77</v>
      </c>
      <c r="D119">
        <v>708.26</v>
      </c>
      <c r="F119">
        <v>118</v>
      </c>
      <c r="G119" s="3" cm="1">
        <f t="array" ref="G119">TRANSPOSE(_xlfn._xlws.FILTER($A$2:$A$2000, $C$2:$C$2000=F119))</f>
        <v>46097</v>
      </c>
      <c r="AA119" t="str" cm="1">
        <f t="array" ref="AA119">_xlfn.LET(_xlpm.dates, _xlfn._xlws.FILTER(G119:Z119, G119:Z119&lt;&gt;""),_xlpm.sorted,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"&amp;F119&amp;""": ["&amp;_xlpm.result&amp;"]")</f>
        <v>"Tier 118": [{"start": "2026-03-16", "end": "2026-03-16"}]</v>
      </c>
    </row>
    <row r="120" spans="1:27" x14ac:dyDescent="0.2">
      <c r="A120" s="3">
        <v>46187</v>
      </c>
      <c r="B120" s="2">
        <v>674.3</v>
      </c>
      <c r="C120">
        <f>MATCH(B120, $D$1:$D$195, 0)-1</f>
        <v>72</v>
      </c>
      <c r="D120">
        <v>708.97</v>
      </c>
      <c r="F120">
        <v>119</v>
      </c>
      <c r="G120" s="3" cm="1">
        <f t="array" ref="G120:H120">TRANSPOSE(_xlfn._xlws.FILTER($A$2:$A$2000, $C$2:$C$2000=F120))</f>
        <v>46300</v>
      </c>
      <c r="H120" s="3">
        <v>46313</v>
      </c>
      <c r="AA120" t="str" cm="1">
        <f t="array" ref="AA120">_xlfn.LET(_xlpm.dates, _xlfn._xlws.FILTER(G120:Z120, G120:Z120&lt;&gt;""),_xlpm.sorted,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"&amp;F120&amp;""": ["&amp;_xlpm.result&amp;"]")</f>
        <v>"Tier 119": [{"start": "2026-10-05", "end": "2026-10-05"},{"start": "2026-10-18", "end": "2026-10-18"}]</v>
      </c>
    </row>
    <row r="121" spans="1:27" x14ac:dyDescent="0.2">
      <c r="A121" s="3">
        <v>46188</v>
      </c>
      <c r="B121" s="2">
        <v>674.3</v>
      </c>
      <c r="C121">
        <f>MATCH(B121, $D$1:$D$195, 0)-1</f>
        <v>72</v>
      </c>
      <c r="D121">
        <v>709.04</v>
      </c>
      <c r="F121">
        <v>120</v>
      </c>
      <c r="G121" s="3" cm="1">
        <f t="array" ref="G121">TRANSPOSE(_xlfn._xlws.FILTER($A$2:$A$2000, $C$2:$C$2000=F121))</f>
        <v>46149</v>
      </c>
      <c r="AA121" t="str" cm="1">
        <f t="array" ref="AA121">_xlfn.LET(_xlpm.dates, _xlfn._xlws.FILTER(G121:Z121, G121:Z121&lt;&gt;""),_xlpm.sorted,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"&amp;F121&amp;""": ["&amp;_xlpm.result&amp;"]")</f>
        <v>"Tier 120": [{"start": "2026-05-07", "end": "2026-05-07"}]</v>
      </c>
    </row>
    <row r="122" spans="1:27" x14ac:dyDescent="0.2">
      <c r="A122" s="3">
        <v>46189</v>
      </c>
      <c r="B122" s="2">
        <v>681.84</v>
      </c>
      <c r="C122">
        <f>MATCH(B122, $D$1:$D$195, 0)-1</f>
        <v>77</v>
      </c>
      <c r="D122">
        <v>709.79</v>
      </c>
      <c r="F122">
        <v>121</v>
      </c>
      <c r="G122" s="3" cm="1">
        <f t="array" ref="G122:I122">TRANSPOSE(_xlfn._xlws.FILTER($A$2:$A$2000, $C$2:$C$2000=F122))</f>
        <v>46098</v>
      </c>
      <c r="H122" s="3">
        <v>46103</v>
      </c>
      <c r="I122" s="3">
        <v>46105</v>
      </c>
      <c r="AA122" t="str" cm="1">
        <f t="array" ref="AA122">_xlfn.LET(_xlpm.dates, _xlfn._xlws.FILTER(G122:Z122, G122:Z122&lt;&gt;""),_xlpm.sorted,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"&amp;F122&amp;""": ["&amp;_xlpm.result&amp;"]")</f>
        <v>"Tier 121": [{"start": "2026-03-17", "end": "2026-03-17"},{"start": "2026-03-22", "end": "2026-03-22"},{"start": "2026-03-24", "end": "2026-03-24"}]</v>
      </c>
    </row>
    <row r="123" spans="1:27" x14ac:dyDescent="0.2">
      <c r="A123" s="3">
        <v>46190</v>
      </c>
      <c r="B123" s="2">
        <v>685.61</v>
      </c>
      <c r="C123">
        <f>MATCH(B123, $D$1:$D$195, 0)-1</f>
        <v>83</v>
      </c>
      <c r="D123">
        <v>710.52</v>
      </c>
      <c r="F123">
        <v>122</v>
      </c>
      <c r="G123" s="3" cm="1">
        <f t="array" ref="G123">TRANSPOSE(_xlfn._xlws.FILTER($A$2:$A$2000, $C$2:$C$2000=F123))</f>
        <v>46298</v>
      </c>
      <c r="AA123" t="str" cm="1">
        <f t="array" ref="AA123">_xlfn.LET(_xlpm.dates, _xlfn._xlws.FILTER(G123:Z123, G123:Z123&lt;&gt;""),_xlpm.sorted,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"&amp;F123&amp;""": ["&amp;_xlpm.result&amp;"]")</f>
        <v>"Tier 122": [{"start": "2026-10-03", "end": "2026-10-03"}]</v>
      </c>
    </row>
    <row r="124" spans="1:27" x14ac:dyDescent="0.2">
      <c r="A124" s="3">
        <v>46191</v>
      </c>
      <c r="B124" s="2">
        <v>689.37</v>
      </c>
      <c r="C124">
        <f>MATCH(B124, $D$1:$D$195, 0)-1</f>
        <v>86</v>
      </c>
      <c r="D124">
        <v>711.27</v>
      </c>
      <c r="F124">
        <v>123</v>
      </c>
      <c r="G124" s="3" cm="1">
        <f t="array" ref="G124">TRANSPOSE(_xlfn._xlws.FILTER($A$2:$A$2000, $C$2:$C$2000=F124))</f>
        <v>46329</v>
      </c>
      <c r="AA124" t="str" cm="1">
        <f t="array" ref="AA124">_xlfn.LET(_xlpm.dates, _xlfn._xlws.FILTER(G124:Z124, G124:Z124&lt;&gt;""),_xlpm.sorted,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"&amp;F124&amp;""": ["&amp;_xlpm.result&amp;"]")</f>
        <v>"Tier 123": [{"start": "2026-11-03", "end": "2026-11-03"}]</v>
      </c>
    </row>
    <row r="125" spans="1:27" x14ac:dyDescent="0.2">
      <c r="A125" s="3">
        <v>46192</v>
      </c>
      <c r="B125" s="2">
        <v>689.37</v>
      </c>
      <c r="C125">
        <f>MATCH(B125, $D$1:$D$195, 0)-1</f>
        <v>86</v>
      </c>
      <c r="D125">
        <v>711.31</v>
      </c>
      <c r="F125">
        <v>124</v>
      </c>
      <c r="G125" s="3" cm="1">
        <f t="array" ref="G125:I125">TRANSPOSE(_xlfn._xlws.FILTER($A$2:$A$2000, $C$2:$C$2000=F125))</f>
        <v>46096</v>
      </c>
      <c r="H125" s="3">
        <v>46099</v>
      </c>
      <c r="I125" s="3">
        <v>46162</v>
      </c>
      <c r="AA125" t="str" cm="1">
        <f t="array" ref="AA125">_xlfn.LET(_xlpm.dates, _xlfn._xlws.FILTER(G125:Z125, G125:Z125&lt;&gt;""),_xlpm.sorted,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"&amp;F125&amp;""": ["&amp;_xlpm.result&amp;"]")</f>
        <v>"Tier 124": [{"start": "2026-03-15", "end": "2026-03-15"},{"start": "2026-03-18", "end": "2026-03-18"},{"start": "2026-05-20", "end": "2026-05-20"}]</v>
      </c>
    </row>
    <row r="126" spans="1:27" x14ac:dyDescent="0.2">
      <c r="A126" s="3">
        <v>46193</v>
      </c>
      <c r="B126" s="2">
        <v>685.61</v>
      </c>
      <c r="C126">
        <f>MATCH(B126, $D$1:$D$195, 0)-1</f>
        <v>83</v>
      </c>
      <c r="D126">
        <v>712.08</v>
      </c>
      <c r="F126">
        <v>125</v>
      </c>
      <c r="G126" s="3" cm="1">
        <f t="array" ref="G126:H126">TRANSPOSE(_xlfn._xlws.FILTER($A$2:$A$2000, $C$2:$C$2000=F126))</f>
        <v>46124</v>
      </c>
      <c r="H126" s="3">
        <v>46125</v>
      </c>
      <c r="AA126" t="str" cm="1">
        <f t="array" ref="AA126">_xlfn.LET(_xlpm.dates, _xlfn._xlws.FILTER(G126:Z126, G126:Z126&lt;&gt;""),_xlpm.sorted,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"&amp;F126&amp;""": ["&amp;_xlpm.result&amp;"]")</f>
        <v>"Tier 125": [{"start": "2026-04-12", "end": "2026-04-12"},{"start": "2026-04-13", "end": "2026-04-13"}]</v>
      </c>
    </row>
    <row r="127" spans="1:27" x14ac:dyDescent="0.2">
      <c r="A127" s="3">
        <v>46194</v>
      </c>
      <c r="B127" s="2">
        <v>685.61</v>
      </c>
      <c r="C127">
        <f>MATCH(B127, $D$1:$D$195, 0)-1</f>
        <v>83</v>
      </c>
      <c r="D127">
        <v>712.82</v>
      </c>
      <c r="F127">
        <v>126</v>
      </c>
      <c r="G127" s="3" cm="1">
        <f t="array" ref="G127:H127">TRANSPOSE(_xlfn._xlws.FILTER($A$2:$A$2000, $C$2:$C$2000=F127))</f>
        <v>46312</v>
      </c>
      <c r="H127" s="3">
        <v>46314</v>
      </c>
      <c r="AA127" t="str" cm="1">
        <f t="array" ref="AA127">_xlfn.LET(_xlpm.dates, _xlfn._xlws.FILTER(G127:Z127, G127:Z127&lt;&gt;""),_xlpm.sorted,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"&amp;F127&amp;""": ["&amp;_xlpm.result&amp;"]")</f>
        <v>"Tier 126": [{"start": "2026-10-17", "end": "2026-10-17"},{"start": "2026-10-19", "end": "2026-10-19"}]</v>
      </c>
    </row>
    <row r="128" spans="1:27" x14ac:dyDescent="0.2">
      <c r="A128" s="3">
        <v>46195</v>
      </c>
      <c r="B128" s="2">
        <v>690.13</v>
      </c>
      <c r="C128">
        <f>MATCH(B128, $D$1:$D$195, 0)-1</f>
        <v>88</v>
      </c>
      <c r="D128">
        <v>712.85</v>
      </c>
      <c r="F128">
        <v>127</v>
      </c>
      <c r="G128" s="3" cm="1">
        <f t="array" ref="G128:H128">TRANSPOSE(_xlfn._xlws.FILTER($A$2:$A$2000, $C$2:$C$2000=F128))</f>
        <v>46150</v>
      </c>
      <c r="H128" s="3">
        <v>46199</v>
      </c>
      <c r="AA128" t="str" cm="1">
        <f t="array" ref="AA128">_xlfn.LET(_xlpm.dates, _xlfn._xlws.FILTER(G128:Z128, G128:Z128&lt;&gt;""),_xlpm.sorted,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"&amp;F128&amp;""": ["&amp;_xlpm.result&amp;"]")</f>
        <v>"Tier 127": [{"start": "2026-05-08", "end": "2026-05-08"},{"start": "2026-06-26", "end": "2026-06-26"}]</v>
      </c>
    </row>
    <row r="129" spans="1:27" x14ac:dyDescent="0.2">
      <c r="A129" s="3">
        <v>46196</v>
      </c>
      <c r="B129" s="2">
        <v>694.64</v>
      </c>
      <c r="C129">
        <f>MATCH(B129, $D$1:$D$195, 0)-1</f>
        <v>94</v>
      </c>
      <c r="D129">
        <v>713.59</v>
      </c>
      <c r="F129">
        <v>128</v>
      </c>
      <c r="G129" s="3" cm="1">
        <f t="array" ref="G129:I129">TRANSPOSE(_xlfn._xlws.FILTER($A$2:$A$2000, $C$2:$C$2000=F129))</f>
        <v>46080</v>
      </c>
      <c r="H129" s="3">
        <v>46318</v>
      </c>
      <c r="I129" s="3">
        <v>46322</v>
      </c>
      <c r="AA129" t="str" cm="1">
        <f t="array" ref="AA129">_xlfn.LET(_xlpm.dates, _xlfn._xlws.FILTER(G129:Z129, G129:Z129&lt;&gt;""),_xlpm.sorted,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"&amp;F129&amp;""": ["&amp;_xlpm.result&amp;"]")</f>
        <v>"Tier 128": [{"start": "2026-02-27", "end": "2026-02-27"},{"start": "2026-10-23", "end": "2026-10-23"},{"start": "2026-10-27", "end": "2026-10-27"}]</v>
      </c>
    </row>
    <row r="130" spans="1:27" x14ac:dyDescent="0.2">
      <c r="A130" s="3">
        <v>46197</v>
      </c>
      <c r="B130" s="2">
        <v>702.94</v>
      </c>
      <c r="C130">
        <f>MATCH(B130, $D$1:$D$195, 0)-1</f>
        <v>110</v>
      </c>
      <c r="D130">
        <v>713.6</v>
      </c>
      <c r="F130">
        <v>129</v>
      </c>
      <c r="G130" s="3" cm="1">
        <f t="array" ref="G130">TRANSPOSE(_xlfn._xlws.FILTER($A$2:$A$2000, $C$2:$C$2000=F130))</f>
        <v>46102</v>
      </c>
      <c r="AA130" t="str" cm="1">
        <f t="array" ref="AA130">_xlfn.LET(_xlpm.dates, _xlfn._xlws.FILTER(G130:Z130, G130:Z130&lt;&gt;""),_xlpm.sorted,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"&amp;F130&amp;""": ["&amp;_xlpm.result&amp;"]")</f>
        <v>"Tier 129": [{"start": "2026-03-21", "end": "2026-03-21"}]</v>
      </c>
    </row>
    <row r="131" spans="1:27" x14ac:dyDescent="0.2">
      <c r="A131" s="3">
        <v>46198</v>
      </c>
      <c r="B131" s="2">
        <v>706.71</v>
      </c>
      <c r="C131">
        <f>MATCH(B131, $D$1:$D$195, 0)-1</f>
        <v>116</v>
      </c>
      <c r="D131">
        <v>714.38</v>
      </c>
      <c r="F131">
        <v>130</v>
      </c>
      <c r="G131" s="3" cm="1">
        <f t="array" ref="G131:H131">TRANSPOSE(_xlfn._xlws.FILTER($A$2:$A$2000, $C$2:$C$2000=F131))</f>
        <v>46126</v>
      </c>
      <c r="H131" s="3">
        <v>46168</v>
      </c>
      <c r="AA131" t="str" cm="1">
        <f t="array" ref="AA131">_xlfn.LET(_xlpm.dates, _xlfn._xlws.FILTER(G131:Z131, G131:Z131&lt;&gt;""),_xlpm.sorted,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"&amp;F131&amp;""": ["&amp;_xlpm.result&amp;"]")</f>
        <v>"Tier 130": [{"start": "2026-04-14", "end": "2026-04-14"},{"start": "2026-05-26", "end": "2026-05-26"}]</v>
      </c>
    </row>
    <row r="132" spans="1:27" x14ac:dyDescent="0.2">
      <c r="A132" s="3">
        <v>46199</v>
      </c>
      <c r="B132" s="2">
        <v>712.85</v>
      </c>
      <c r="C132">
        <f>MATCH(B132, $D$1:$D$195, 0)-1</f>
        <v>127</v>
      </c>
      <c r="D132">
        <v>715.12</v>
      </c>
      <c r="F132">
        <v>131</v>
      </c>
      <c r="G132" s="3" cm="1">
        <f t="array" ref="G132">TRANSPOSE(_xlfn._xlws.FILTER($A$2:$A$2000, $C$2:$C$2000=F132))</f>
        <v>46336</v>
      </c>
      <c r="AA132" t="str" cm="1">
        <f t="array" ref="AA132">_xlfn.LET(_xlpm.dates, _xlfn._xlws.FILTER(G132:Z132, G132:Z132&lt;&gt;""),_xlpm.sorted,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"&amp;F132&amp;""": ["&amp;_xlpm.result&amp;"]")</f>
        <v>"Tier 131": [{"start": "2026-11-10", "end": "2026-11-10"}]</v>
      </c>
    </row>
    <row r="133" spans="1:27" x14ac:dyDescent="0.2">
      <c r="A133" s="3">
        <v>46200</v>
      </c>
      <c r="B133" s="2">
        <v>704.45</v>
      </c>
      <c r="C133">
        <f>MATCH(B133, $D$1:$D$195, 0)-1</f>
        <v>112</v>
      </c>
      <c r="D133">
        <v>715.13</v>
      </c>
      <c r="F133">
        <v>132</v>
      </c>
      <c r="G133" s="3" cm="1">
        <f t="array" ref="G133:H133">TRANSPOSE(_xlfn._xlws.FILTER($A$2:$A$2000, $C$2:$C$2000=F133))</f>
        <v>46086</v>
      </c>
      <c r="H133" s="3">
        <v>46136</v>
      </c>
      <c r="AA133" t="str" cm="1">
        <f t="array" ref="AA133">_xlfn.LET(_xlpm.dates, _xlfn._xlws.FILTER(G133:Z133, G133:Z133&lt;&gt;""),_xlpm.sorted,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"&amp;F133&amp;""": ["&amp;_xlpm.result&amp;"]")</f>
        <v>"Tier 132": [{"start": "2026-03-05", "end": "2026-03-05"},{"start": "2026-04-24", "end": "2026-04-24"}]</v>
      </c>
    </row>
    <row r="134" spans="1:27" x14ac:dyDescent="0.2">
      <c r="A134" s="3">
        <v>46201</v>
      </c>
      <c r="B134" s="1">
        <v>696.82</v>
      </c>
      <c r="C134">
        <f>MATCH(B134, $D$1:$D$195, 0)-1</f>
        <v>97</v>
      </c>
      <c r="D134">
        <v>715.89</v>
      </c>
      <c r="F134">
        <v>133</v>
      </c>
      <c r="G134" s="3" cm="1">
        <f t="array" ref="G134">TRANSPOSE(_xlfn._xlws.FILTER($A$2:$A$2000, $C$2:$C$2000=F134))</f>
        <v>46333</v>
      </c>
      <c r="AA134" t="str" cm="1">
        <f t="array" ref="AA134">_xlfn.LET(_xlpm.dates, _xlfn._xlws.FILTER(G134:Z134, G134:Z134&lt;&gt;""),_xlpm.sorted,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"&amp;F134&amp;""": ["&amp;_xlpm.result&amp;"]")</f>
        <v>"Tier 133": [{"start": "2026-11-07", "end": "2026-11-07"}]</v>
      </c>
    </row>
    <row r="135" spans="1:27" x14ac:dyDescent="0.2">
      <c r="A135" s="3">
        <v>46202</v>
      </c>
      <c r="B135" s="1">
        <v>696.05</v>
      </c>
      <c r="C135">
        <f>MATCH(B135, $D$1:$D$195, 0)-1</f>
        <v>96</v>
      </c>
      <c r="D135">
        <v>715.9</v>
      </c>
      <c r="F135">
        <v>134</v>
      </c>
      <c r="G135" s="3" cm="1">
        <f t="array" ref="G135:J135">TRANSPOSE(_xlfn._xlws.FILTER($A$2:$A$2000, $C$2:$C$2000=F135))</f>
        <v>46100</v>
      </c>
      <c r="H135" s="3">
        <v>46106</v>
      </c>
      <c r="I135" s="3">
        <v>46131</v>
      </c>
      <c r="J135" s="3">
        <v>46132</v>
      </c>
      <c r="AA135" t="str" cm="1">
        <f t="array" ref="AA135">_xlfn.LET(_xlpm.dates, _xlfn._xlws.FILTER(G135:Z135, G135:Z135&lt;&gt;""),_xlpm.sorted,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"&amp;F135&amp;""": ["&amp;_xlpm.result&amp;"]")</f>
        <v>"Tier 134": [{"start": "2026-03-19", "end": "2026-03-19"},{"start": "2026-03-25", "end": "2026-03-25"},{"start": "2026-04-19", "end": "2026-04-19"},{"start": "2026-04-20", "end": "2026-04-20"}]</v>
      </c>
    </row>
    <row r="136" spans="1:27" x14ac:dyDescent="0.2">
      <c r="A136" s="3">
        <v>46203</v>
      </c>
      <c r="B136" s="1">
        <v>699.87</v>
      </c>
      <c r="C136">
        <f>MATCH(B136, $D$1:$D$195, 0)-1</f>
        <v>103</v>
      </c>
      <c r="D136">
        <v>716.65</v>
      </c>
      <c r="F136">
        <v>135</v>
      </c>
      <c r="G136" s="3" cm="1">
        <f t="array" ref="G136:H136">TRANSPOSE(_xlfn._xlws.FILTER($A$2:$A$2000, $C$2:$C$2000=F136))</f>
        <v>46323</v>
      </c>
      <c r="H136" s="3">
        <v>46325</v>
      </c>
      <c r="AA136" t="str" cm="1">
        <f t="array" ref="AA136">_xlfn.LET(_xlpm.dates, _xlfn._xlws.FILTER(G136:Z136, G136:Z136&lt;&gt;""),_xlpm.sorted,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"&amp;F136&amp;""": ["&amp;_xlpm.result&amp;"]")</f>
        <v>"Tier 135": [{"start": "2026-10-28", "end": "2026-10-28"},{"start": "2026-10-30", "end": "2026-10-30"}]</v>
      </c>
    </row>
    <row r="137" spans="1:27" x14ac:dyDescent="0.2">
      <c r="A137" s="3">
        <v>46204</v>
      </c>
      <c r="B137" s="1">
        <v>699.12</v>
      </c>
      <c r="C137">
        <f>MATCH(B137, $D$1:$D$195, 0)-1</f>
        <v>102</v>
      </c>
      <c r="D137">
        <v>716.67</v>
      </c>
      <c r="F137">
        <v>136</v>
      </c>
      <c r="G137" s="3" cm="1">
        <f t="array" ref="G137">TRANSPOSE(_xlfn._xlws.FILTER($A$2:$A$2000, $C$2:$C$2000=F137))</f>
        <v>46101</v>
      </c>
      <c r="AA137" t="str" cm="1">
        <f t="array" ref="AA137">_xlfn.LET(_xlpm.dates, _xlfn._xlws.FILTER(G137:Z137, G137:Z137&lt;&gt;""),_xlpm.sorted,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"&amp;F137&amp;""": ["&amp;_xlpm.result&amp;"]")</f>
        <v>"Tier 136": [{"start": "2026-03-20", "end": "2026-03-20"}]</v>
      </c>
    </row>
    <row r="138" spans="1:27" x14ac:dyDescent="0.2">
      <c r="A138" s="3">
        <v>46205</v>
      </c>
      <c r="B138" s="1">
        <v>698.35</v>
      </c>
      <c r="C138">
        <f>MATCH(B138, $D$1:$D$195, 0)-1</f>
        <v>101</v>
      </c>
      <c r="D138">
        <v>717.44</v>
      </c>
      <c r="F138">
        <v>137</v>
      </c>
      <c r="G138" s="3" cm="1">
        <f t="array" ref="G138:H138">TRANSPOSE(_xlfn._xlws.FILTER($A$2:$A$2000, $C$2:$C$2000=F138))</f>
        <v>46301</v>
      </c>
      <c r="H138" s="3">
        <v>46317</v>
      </c>
      <c r="AA138" t="str" cm="1">
        <f t="array" ref="AA138">_xlfn.LET(_xlpm.dates, _xlfn._xlws.FILTER(G138:Z138, G138:Z138&lt;&gt;""),_xlpm.sorted,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"&amp;F138&amp;""": ["&amp;_xlpm.result&amp;"]")</f>
        <v>"Tier 137": [{"start": "2026-10-06", "end": "2026-10-06"},{"start": "2026-10-22", "end": "2026-10-22"}]</v>
      </c>
    </row>
    <row r="139" spans="1:27" x14ac:dyDescent="0.2">
      <c r="A139" s="3">
        <v>46206</v>
      </c>
      <c r="B139" s="1">
        <v>692.23</v>
      </c>
      <c r="C139">
        <f>MATCH(B139, $D$1:$D$195, 0)-1</f>
        <v>91</v>
      </c>
      <c r="D139">
        <v>718.2</v>
      </c>
      <c r="F139">
        <v>138</v>
      </c>
      <c r="G139" s="3" cm="1">
        <f t="array" ref="G139:J139">TRANSPOSE(_xlfn._xlws.FILTER($A$2:$A$2000, $C$2:$C$2000=F139))</f>
        <v>46095</v>
      </c>
      <c r="H139" s="3">
        <v>46123</v>
      </c>
      <c r="I139" s="3">
        <v>46133</v>
      </c>
      <c r="J139" s="3">
        <v>46167</v>
      </c>
      <c r="AA139" t="str" cm="1">
        <f t="array" ref="AA139">_xlfn.LET(_xlpm.dates, _xlfn._xlws.FILTER(G139:Z139, G139:Z139&lt;&gt;""),_xlpm.sorted,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"&amp;F139&amp;""": ["&amp;_xlpm.result&amp;"]")</f>
        <v>"Tier 138": [{"start": "2026-03-14", "end": "2026-03-14"},{"start": "2026-04-11", "end": "2026-04-11"},{"start": "2026-04-21", "end": "2026-04-21"},{"start": "2026-05-25", "end": "2026-05-25"}]</v>
      </c>
    </row>
    <row r="140" spans="1:27" x14ac:dyDescent="0.2">
      <c r="A140" s="3">
        <v>46207</v>
      </c>
      <c r="B140" s="1">
        <v>679.27</v>
      </c>
      <c r="C140">
        <f>MATCH(B140, $D$1:$D$195, 0)-1</f>
        <v>75</v>
      </c>
      <c r="D140">
        <v>719.71</v>
      </c>
      <c r="F140">
        <v>139</v>
      </c>
      <c r="G140" s="3" cm="1">
        <f t="array" ref="G140:I140">TRANSPOSE(_xlfn._xlws.FILTER($A$2:$A$2000, $C$2:$C$2000=F140))</f>
        <v>46107</v>
      </c>
      <c r="H140" s="3">
        <v>46135</v>
      </c>
      <c r="I140" s="3">
        <v>46163</v>
      </c>
      <c r="AA140" t="str" cm="1">
        <f t="array" ref="AA140">_xlfn.LET(_xlpm.dates, _xlfn._xlws.FILTER(G140:Z140, G140:Z140&lt;&gt;""),_xlpm.sorted,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"&amp;F140&amp;""": ["&amp;_xlpm.result&amp;"]")</f>
        <v>"Tier 139": [{"start": "2026-03-26", "end": "2026-03-26"},{"start": "2026-04-23", "end": "2026-04-23"},{"start": "2026-05-21", "end": "2026-05-21"}]</v>
      </c>
    </row>
    <row r="141" spans="1:27" x14ac:dyDescent="0.2">
      <c r="A141" s="3">
        <v>46208</v>
      </c>
      <c r="B141" s="1">
        <v>666.3</v>
      </c>
      <c r="C141">
        <f>MATCH(B141, $D$1:$D$195, 0)-1</f>
        <v>69</v>
      </c>
      <c r="D141">
        <v>719.74</v>
      </c>
      <c r="F141">
        <v>140</v>
      </c>
      <c r="G141" s="3" cm="1">
        <f t="array" ref="G141:H141">TRANSPOSE(_xlfn._xlws.FILTER($A$2:$A$2000, $C$2:$C$2000=F141))</f>
        <v>46315</v>
      </c>
      <c r="H141" s="3">
        <v>46332</v>
      </c>
      <c r="AA141" t="str" cm="1">
        <f t="array" ref="AA141">_xlfn.LET(_xlpm.dates, _xlfn._xlws.FILTER(G141:Z141, G141:Z141&lt;&gt;""),_xlpm.sorted,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"&amp;F141&amp;""": ["&amp;_xlpm.result&amp;"]")</f>
        <v>"Tier 140": [{"start": "2026-10-20", "end": "2026-10-20"},{"start": "2026-11-06", "end": "2026-11-06"}]</v>
      </c>
    </row>
    <row r="142" spans="1:27" x14ac:dyDescent="0.2">
      <c r="A142" s="3">
        <v>46209</v>
      </c>
      <c r="B142" s="1">
        <v>660.96</v>
      </c>
      <c r="C142">
        <f>MATCH(B142, $D$1:$D$195, 0)-1</f>
        <v>68</v>
      </c>
      <c r="D142">
        <v>720.49</v>
      </c>
      <c r="F142">
        <v>141</v>
      </c>
      <c r="G142" s="3" cm="1">
        <f t="array" ref="G142:H142">TRANSPOSE(_xlfn._xlws.FILTER($A$2:$A$2000, $C$2:$C$2000=F142))</f>
        <v>46127</v>
      </c>
      <c r="H142" s="3">
        <v>46134</v>
      </c>
      <c r="AA142" t="str" cm="1">
        <f t="array" ref="AA142">_xlfn.LET(_xlpm.dates, _xlfn._xlws.FILTER(G142:Z142, G142:Z142&lt;&gt;""),_xlpm.sorted,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"&amp;F142&amp;""": ["&amp;_xlpm.result&amp;"]")</f>
        <v>"Tier 141": [{"start": "2026-04-15", "end": "2026-04-15"},{"start": "2026-04-22", "end": "2026-04-22"}]</v>
      </c>
    </row>
    <row r="143" spans="1:27" x14ac:dyDescent="0.2">
      <c r="A143" s="3">
        <v>46210</v>
      </c>
      <c r="B143" s="1">
        <v>660.19</v>
      </c>
      <c r="C143">
        <f>MATCH(B143, $D$1:$D$195, 0)-1</f>
        <v>67</v>
      </c>
      <c r="D143">
        <v>720.51</v>
      </c>
      <c r="F143">
        <v>142</v>
      </c>
      <c r="G143" s="3" cm="1">
        <f t="array" ref="G143:K143">TRANSPOSE(_xlfn._xlws.FILTER($A$2:$A$2000, $C$2:$C$2000=F143))</f>
        <v>46311</v>
      </c>
      <c r="H143" s="3">
        <v>46316</v>
      </c>
      <c r="I143" s="3">
        <v>46324</v>
      </c>
      <c r="J143" s="3">
        <v>46362</v>
      </c>
      <c r="K143" s="3">
        <v>46363</v>
      </c>
      <c r="AA143" t="str" cm="1">
        <f t="array" ref="AA143">_xlfn.LET(_xlpm.dates, _xlfn._xlws.FILTER(G143:Z143, G143:Z143&lt;&gt;""),_xlpm.sorted,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"&amp;F143&amp;""": ["&amp;_xlpm.result&amp;"]")</f>
        <v>"Tier 142": [{"start": "2026-10-16", "end": "2026-10-16"},{"start": "2026-10-21", "end": "2026-10-21"},{"start": "2026-10-29", "end": "2026-10-29"},{"start": "2026-12-06", "end": "2026-12-06"},{"start": "2026-12-07", "end": "2026-12-07"}]</v>
      </c>
    </row>
    <row r="144" spans="1:27" x14ac:dyDescent="0.2">
      <c r="A144" s="3">
        <v>46211</v>
      </c>
      <c r="B144" s="1">
        <v>651.71</v>
      </c>
      <c r="C144">
        <f>MATCH(B144, $D$1:$D$195, 0)-1</f>
        <v>64</v>
      </c>
      <c r="D144">
        <v>721.24</v>
      </c>
      <c r="F144">
        <v>143</v>
      </c>
      <c r="G144" s="3" cm="1">
        <f t="array" ref="G144">TRANSPOSE(_xlfn._xlws.FILTER($A$2:$A$2000, $C$2:$C$2000=F144))</f>
        <v>46166</v>
      </c>
      <c r="AA144" t="str" cm="1">
        <f t="array" ref="AA144">_xlfn.LET(_xlpm.dates, _xlfn._xlws.FILTER(G144:Z144, G144:Z144&lt;&gt;""),_xlpm.sorted,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"&amp;F144&amp;""": ["&amp;_xlpm.result&amp;"]")</f>
        <v>"Tier 143": [{"start": "2026-05-24", "end": "2026-05-24"}]</v>
      </c>
    </row>
    <row r="145" spans="1:27" x14ac:dyDescent="0.2">
      <c r="A145" s="3">
        <v>46212</v>
      </c>
      <c r="B145" s="1">
        <v>647.92999999999995</v>
      </c>
      <c r="C145">
        <f>MATCH(B145, $D$1:$D$195, 0)-1</f>
        <v>62</v>
      </c>
      <c r="D145">
        <v>722.01</v>
      </c>
      <c r="F145">
        <v>144</v>
      </c>
      <c r="G145" s="3" cm="1">
        <f t="array" ref="G145">TRANSPOSE(_xlfn._xlws.FILTER($A$2:$A$2000, $C$2:$C$2000=F145))</f>
        <v>46130</v>
      </c>
      <c r="AA145" t="str" cm="1">
        <f t="array" ref="AA145">_xlfn.LET(_xlpm.dates, _xlfn._xlws.FILTER(G145:Z145, G145:Z145&lt;&gt;""),_xlpm.sorted,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"&amp;F145&amp;""": ["&amp;_xlpm.result&amp;"]")</f>
        <v>"Tier 144": [{"start": "2026-04-18", "end": "2026-04-18"}]</v>
      </c>
    </row>
    <row r="146" spans="1:27" x14ac:dyDescent="0.2">
      <c r="A146" s="3">
        <v>46213</v>
      </c>
      <c r="B146" s="1">
        <v>647.92999999999995</v>
      </c>
      <c r="C146">
        <f>MATCH(B146, $D$1:$D$195, 0)-1</f>
        <v>62</v>
      </c>
      <c r="D146">
        <v>723.53</v>
      </c>
      <c r="F146">
        <v>145</v>
      </c>
      <c r="G146" s="3" cm="1">
        <f t="array" ref="G146:M146">TRANSPOSE(_xlfn._xlws.FILTER($A$2:$A$2000, $C$2:$C$2000=F146))</f>
        <v>46089</v>
      </c>
      <c r="H146" s="3">
        <v>46090</v>
      </c>
      <c r="I146" s="3">
        <v>46108</v>
      </c>
      <c r="J146" s="3">
        <v>46110</v>
      </c>
      <c r="K146" s="3">
        <v>46111</v>
      </c>
      <c r="L146" s="3">
        <v>46117</v>
      </c>
      <c r="M146" s="3">
        <v>46118</v>
      </c>
      <c r="AA146" t="str" cm="1">
        <f t="array" ref="AA146">_xlfn.LET(_xlpm.dates, _xlfn._xlws.FILTER(G146:Z146, G146:Z146&lt;&gt;""),_xlpm.sorted,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"&amp;F146&amp;""": ["&amp;_xlpm.result&amp;"]")</f>
        <v>"Tier 145": [{"start": "2026-03-08", "end": "2026-03-08"},{"start": "2026-03-09", "end": "2026-03-09"},{"start": "2026-03-27", "end": "2026-03-27"},{"start": "2026-03-29", "end": "2026-03-29"},{"start": "2026-03-30", "end": "2026-03-30"},{"start": "2026-04-05", "end": "2026-04-05"},{"start": "2026-04-06", "end": "2026-04-06"}]</v>
      </c>
    </row>
    <row r="147" spans="1:27" x14ac:dyDescent="0.2">
      <c r="A147" s="3">
        <v>46214</v>
      </c>
      <c r="B147" s="1">
        <v>652.55999999999995</v>
      </c>
      <c r="C147">
        <f>MATCH(B147, $D$1:$D$195, 0)-1</f>
        <v>65</v>
      </c>
      <c r="D147">
        <v>723.57</v>
      </c>
      <c r="F147">
        <v>146</v>
      </c>
      <c r="G147" s="3" cm="1">
        <f t="array" ref="G147">TRANSPOSE(_xlfn._xlws.FILTER($A$2:$A$2000, $C$2:$C$2000=F147))</f>
        <v>46330</v>
      </c>
      <c r="AA147" t="str" cm="1">
        <f t="array" ref="AA147">_xlfn.LET(_xlpm.dates, _xlfn._xlws.FILTER(G147:Z147, G147:Z147&lt;&gt;""),_xlpm.sorted,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"&amp;F147&amp;""": ["&amp;_xlpm.result&amp;"]")</f>
        <v>"Tier 146": [{"start": "2026-11-04", "end": "2026-11-04"}]</v>
      </c>
    </row>
    <row r="148" spans="1:27" x14ac:dyDescent="0.2">
      <c r="A148" s="3">
        <v>46215</v>
      </c>
      <c r="B148" s="1">
        <v>644.92999999999995</v>
      </c>
      <c r="C148">
        <f>MATCH(B148, $D$1:$D$195, 0)-1</f>
        <v>60</v>
      </c>
      <c r="D148">
        <v>724.3</v>
      </c>
      <c r="F148">
        <v>147</v>
      </c>
      <c r="G148" s="3" cm="1">
        <f t="array" ref="G148:J148">TRANSPOSE(_xlfn._xlws.FILTER($A$2:$A$2000, $C$2:$C$2000=F148))</f>
        <v>46087</v>
      </c>
      <c r="H148" s="3">
        <v>46122</v>
      </c>
      <c r="I148" s="3">
        <v>46128</v>
      </c>
      <c r="J148" s="3">
        <v>46165</v>
      </c>
      <c r="AA148" t="str" cm="1">
        <f t="array" ref="AA148">_xlfn.LET(_xlpm.dates, _xlfn._xlws.FILTER(G148:Z148, G148:Z148&lt;&gt;""),_xlpm.sorted,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"&amp;F148&amp;""": ["&amp;_xlpm.result&amp;"]")</f>
        <v>"Tier 147": [{"start": "2026-03-06", "end": "2026-03-06"},{"start": "2026-04-10", "end": "2026-04-10"},{"start": "2026-04-16", "end": "2026-04-16"},{"start": "2026-05-23", "end": "2026-05-23"}]</v>
      </c>
    </row>
    <row r="149" spans="1:27" x14ac:dyDescent="0.2">
      <c r="A149" s="3">
        <v>46216</v>
      </c>
      <c r="B149" s="1">
        <v>648.75</v>
      </c>
      <c r="C149">
        <f>MATCH(B149, $D$1:$D$195, 0)-1</f>
        <v>63</v>
      </c>
      <c r="D149">
        <v>724.33</v>
      </c>
      <c r="F149">
        <v>148</v>
      </c>
      <c r="G149" s="3" cm="1">
        <f t="array" ref="G149:I149">TRANSPOSE(_xlfn._xlws.FILTER($A$2:$A$2000, $C$2:$C$2000=F149))</f>
        <v>46310</v>
      </c>
      <c r="H149" s="3">
        <v>46331</v>
      </c>
      <c r="I149" s="3">
        <v>46356</v>
      </c>
      <c r="AA149" t="str" cm="1">
        <f t="array" ref="AA149">_xlfn.LET(_xlpm.dates, _xlfn._xlws.FILTER(G149:Z149, G149:Z149&lt;&gt;""),_xlpm.sorted,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"&amp;F149&amp;""": ["&amp;_xlpm.result&amp;"]")</f>
        <v>"Tier 148": [{"start": "2026-10-15", "end": "2026-10-15"},{"start": "2026-11-05", "end": "2026-11-05"},{"start": "2026-11-30", "end": "2026-11-30"}]</v>
      </c>
    </row>
    <row r="150" spans="1:27" x14ac:dyDescent="0.2">
      <c r="A150" s="3">
        <v>46217</v>
      </c>
      <c r="B150" s="1">
        <v>656.37</v>
      </c>
      <c r="C150">
        <f>MATCH(B150, $D$1:$D$195, 0)-1</f>
        <v>66</v>
      </c>
      <c r="D150">
        <v>725.05</v>
      </c>
      <c r="F150">
        <v>149</v>
      </c>
      <c r="G150" s="3" cm="1">
        <f t="array" ref="G150">TRANSPOSE(_xlfn._xlws.FILTER($A$2:$A$2000, $C$2:$C$2000=F150))</f>
        <v>46094</v>
      </c>
      <c r="AA150" t="str" cm="1">
        <f t="array" ref="AA150">_xlfn.LET(_xlpm.dates, _xlfn._xlws.FILTER(G150:Z150, G150:Z150&lt;&gt;""),_xlpm.sorted,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"&amp;F150&amp;""": ["&amp;_xlpm.result&amp;"]")</f>
        <v>"Tier 149": [{"start": "2026-03-13", "end": "2026-03-13"}]</v>
      </c>
    </row>
    <row r="151" spans="1:27" x14ac:dyDescent="0.2">
      <c r="A151" s="3">
        <v>46218</v>
      </c>
      <c r="B151" s="1">
        <v>656.37</v>
      </c>
      <c r="C151">
        <f>MATCH(B151, $D$1:$D$195, 0)-1</f>
        <v>66</v>
      </c>
      <c r="D151">
        <v>725.83</v>
      </c>
      <c r="F151">
        <v>150</v>
      </c>
      <c r="G151" s="3" cm="1">
        <f t="array" ref="G151:L151">TRANSPOSE(_xlfn._xlws.FILTER($A$2:$A$2000, $C$2:$C$2000=F151))</f>
        <v>46088</v>
      </c>
      <c r="H151" s="3">
        <v>46091</v>
      </c>
      <c r="I151" s="3">
        <v>46109</v>
      </c>
      <c r="J151" s="3">
        <v>46112</v>
      </c>
      <c r="K151" s="3">
        <v>46116</v>
      </c>
      <c r="L151" s="3">
        <v>46119</v>
      </c>
      <c r="AA151" t="str" cm="1">
        <f t="array" ref="AA151">_xlfn.LET(_xlpm.dates, _xlfn._xlws.FILTER(G151:Z151, G151:Z151&lt;&gt;""),_xlpm.sorted,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"&amp;F151&amp;""": ["&amp;_xlpm.result&amp;"]")</f>
        <v>"Tier 150": [{"start": "2026-03-07", "end": "2026-03-07"},{"start": "2026-03-10", "end": "2026-03-10"},{"start": "2026-03-28", "end": "2026-03-28"},{"start": "2026-03-31", "end": "2026-03-31"},{"start": "2026-04-04", "end": "2026-04-04"},{"start": "2026-04-07", "end": "2026-04-07"}]</v>
      </c>
    </row>
    <row r="152" spans="1:27" x14ac:dyDescent="0.2">
      <c r="A152" s="3">
        <v>46219</v>
      </c>
      <c r="B152" s="1">
        <v>644.16999999999996</v>
      </c>
      <c r="C152">
        <f>MATCH(B152, $D$1:$D$195, 0)-1</f>
        <v>59</v>
      </c>
      <c r="D152">
        <v>726.59</v>
      </c>
      <c r="F152">
        <v>151</v>
      </c>
      <c r="G152" s="3" cm="1">
        <f t="array" ref="G152">TRANSPOSE(_xlfn._xlws.FILTER($A$2:$A$2000, $C$2:$C$2000=F152))</f>
        <v>46093</v>
      </c>
      <c r="AA152" t="str" cm="1">
        <f t="array" ref="AA152">_xlfn.LET(_xlpm.dates, _xlfn._xlws.FILTER(G152:Z152, G152:Z152&lt;&gt;""),_xlpm.sorted,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"&amp;F152&amp;""": ["&amp;_xlpm.result&amp;"]")</f>
        <v>"Tier 151": [{"start": "2026-03-12", "end": "2026-03-12"}]</v>
      </c>
    </row>
    <row r="153" spans="1:27" x14ac:dyDescent="0.2">
      <c r="A153" s="3">
        <v>46220</v>
      </c>
      <c r="B153" s="1">
        <v>644.16999999999996</v>
      </c>
      <c r="C153">
        <f>MATCH(B153, $D$1:$D$195, 0)-1</f>
        <v>59</v>
      </c>
      <c r="D153">
        <v>726.64</v>
      </c>
      <c r="F153">
        <v>152</v>
      </c>
      <c r="G153" s="3" cm="1">
        <f t="array" ref="G153:I153">TRANSPOSE(_xlfn._xlws.FILTER($A$2:$A$2000, $C$2:$C$2000=F153))</f>
        <v>46302</v>
      </c>
      <c r="H153" s="3">
        <v>46307</v>
      </c>
      <c r="I153" s="3">
        <v>46364</v>
      </c>
      <c r="AA153" t="str" cm="1">
        <f t="array" ref="AA153">_xlfn.LET(_xlpm.dates, _xlfn._xlws.FILTER(G153:Z153, G153:Z153&lt;&gt;""),_xlpm.sorted,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"&amp;F153&amp;""": ["&amp;_xlpm.result&amp;"]")</f>
        <v>"Tier 152": [{"start": "2026-10-07", "end": "2026-10-07"},{"start": "2026-10-12", "end": "2026-10-12"},{"start": "2026-12-08", "end": "2026-12-08"}]</v>
      </c>
    </row>
    <row r="154" spans="1:27" x14ac:dyDescent="0.2">
      <c r="A154" s="3">
        <v>46221</v>
      </c>
      <c r="B154" s="1">
        <v>640.41</v>
      </c>
      <c r="C154">
        <f>MATCH(B154, $D$1:$D$195, 0)-1</f>
        <v>57</v>
      </c>
      <c r="D154">
        <v>727.34</v>
      </c>
      <c r="F154">
        <v>153</v>
      </c>
      <c r="G154" s="3" cm="1">
        <f t="array" ref="G154">TRANSPOSE(_xlfn._xlws.FILTER($A$2:$A$2000, $C$2:$C$2000=F154))</f>
        <v>46164</v>
      </c>
      <c r="AA154" t="str" cm="1">
        <f t="array" ref="AA154">_xlfn.LET(_xlpm.dates, _xlfn._xlws.FILTER(G154:Z154, G154:Z154&lt;&gt;""),_xlpm.sorted,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"&amp;F154&amp;""": ["&amp;_xlpm.result&amp;"]")</f>
        <v>"Tier 153": [{"start": "2026-05-22", "end": "2026-05-22"}]</v>
      </c>
    </row>
    <row r="155" spans="1:27" x14ac:dyDescent="0.2">
      <c r="A155" s="3">
        <v>46222</v>
      </c>
      <c r="B155" s="1">
        <v>636.63</v>
      </c>
      <c r="C155">
        <f>MATCH(B155, $D$1:$D$195, 0)-1</f>
        <v>55</v>
      </c>
      <c r="D155">
        <v>727.42</v>
      </c>
      <c r="F155">
        <v>154</v>
      </c>
      <c r="G155" s="3" cm="1">
        <f t="array" ref="G155:J155">TRANSPOSE(_xlfn._xlws.FILTER($A$2:$A$2000, $C$2:$C$2000=F155))</f>
        <v>46306</v>
      </c>
      <c r="H155" s="3">
        <v>46308</v>
      </c>
      <c r="I155" s="3">
        <v>46337</v>
      </c>
      <c r="J155" s="3">
        <v>46361</v>
      </c>
      <c r="AA155" t="str" cm="1">
        <f t="array" ref="AA155">_xlfn.LET(_xlpm.dates, _xlfn._xlws.FILTER(G155:Z155, G155:Z155&lt;&gt;""),_xlpm.sorted,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"&amp;F155&amp;""": ["&amp;_xlpm.result&amp;"]")</f>
        <v>"Tier 154": [{"start": "2026-10-11", "end": "2026-10-11"},{"start": "2026-10-13", "end": "2026-10-13"},{"start": "2026-11-11", "end": "2026-11-11"},{"start": "2026-12-05", "end": "2026-12-05"}]</v>
      </c>
    </row>
    <row r="156" spans="1:27" x14ac:dyDescent="0.2">
      <c r="A156" s="3">
        <v>46223</v>
      </c>
      <c r="B156" s="1">
        <v>640.41</v>
      </c>
      <c r="C156">
        <f>MATCH(B156, $D$1:$D$195, 0)-1</f>
        <v>57</v>
      </c>
      <c r="D156">
        <v>728.12</v>
      </c>
      <c r="F156">
        <v>155</v>
      </c>
      <c r="G156" s="3" cm="1">
        <f t="array" ref="G156:M156">TRANSPOSE(_xlfn._xlws.FILTER($A$2:$A$2000, $C$2:$C$2000=F156))</f>
        <v>46092</v>
      </c>
      <c r="H156" s="3">
        <v>46113</v>
      </c>
      <c r="I156" s="3">
        <v>46114</v>
      </c>
      <c r="J156" s="3">
        <v>46115</v>
      </c>
      <c r="K156" s="3">
        <v>46120</v>
      </c>
      <c r="L156" s="3">
        <v>46121</v>
      </c>
      <c r="M156" s="3">
        <v>46129</v>
      </c>
      <c r="AA156" t="str" cm="1">
        <f t="array" ref="AA156">_xlfn.LET(_xlpm.dates, _xlfn._xlws.FILTER(G156:Z156, G156:Z156&lt;&gt;""),_xlpm.sorted,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"&amp;F156&amp;""": ["&amp;_xlpm.result&amp;"]")</f>
        <v>"Tier 155": [{"start": "2026-03-11", "end": "2026-03-11"},{"start": "2026-04-01", "end": "2026-04-01"},{"start": "2026-04-02", "end": "2026-04-02"},{"start": "2026-04-03", "end": "2026-04-03"},{"start": "2026-04-08", "end": "2026-04-08"},{"start": "2026-04-09", "end": "2026-04-09"},{"start": "2026-04-17", "end": "2026-04-17"}]</v>
      </c>
    </row>
    <row r="157" spans="1:27" x14ac:dyDescent="0.2">
      <c r="A157" s="3">
        <v>46224</v>
      </c>
      <c r="B157" s="1">
        <v>647.92999999999995</v>
      </c>
      <c r="C157">
        <f>MATCH(B157, $D$1:$D$195, 0)-1</f>
        <v>62</v>
      </c>
      <c r="D157">
        <v>728.18</v>
      </c>
      <c r="F157">
        <v>156</v>
      </c>
      <c r="G157" s="3" cm="1">
        <f t="array" ref="G157:H157">TRANSPOSE(_xlfn._xlws.FILTER($A$2:$A$2000, $C$2:$C$2000=F157))</f>
        <v>46309</v>
      </c>
      <c r="H157" s="3">
        <v>46355</v>
      </c>
      <c r="AA157" t="str" cm="1">
        <f t="array" ref="AA157">_xlfn.LET(_xlpm.dates, _xlfn._xlws.FILTER(G157:Z157, G157:Z157&lt;&gt;""),_xlpm.sorted,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"&amp;F157&amp;""": ["&amp;_xlpm.result&amp;"]")</f>
        <v>"Tier 156": [{"start": "2026-10-14", "end": "2026-10-14"},{"start": "2026-11-29", "end": "2026-11-29"}]</v>
      </c>
    </row>
    <row r="158" spans="1:27" x14ac:dyDescent="0.2">
      <c r="A158" s="3">
        <v>46225</v>
      </c>
      <c r="B158" s="1">
        <v>651.71</v>
      </c>
      <c r="C158">
        <f>MATCH(B158, $D$1:$D$195, 0)-1</f>
        <v>64</v>
      </c>
      <c r="D158">
        <v>728.96</v>
      </c>
      <c r="F158">
        <v>157</v>
      </c>
      <c r="G158" s="3" cm="1">
        <f t="array" ref="G158">TRANSPOSE(_xlfn._xlws.FILTER($A$2:$A$2000, $C$2:$C$2000=F158))</f>
        <v>46303</v>
      </c>
      <c r="AA158" t="str" cm="1">
        <f t="array" ref="AA158">_xlfn.LET(_xlpm.dates, _xlfn._xlws.FILTER(G158:Z158, G158:Z158&lt;&gt;""),_xlpm.sorted,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"&amp;F158&amp;""": ["&amp;_xlpm.result&amp;"]")</f>
        <v>"Tier 157": [{"start": "2026-10-08", "end": "2026-10-08"}]</v>
      </c>
    </row>
    <row r="159" spans="1:27" x14ac:dyDescent="0.2">
      <c r="A159" s="3">
        <v>46226</v>
      </c>
      <c r="B159" s="1">
        <v>647.92999999999995</v>
      </c>
      <c r="C159">
        <f>MATCH(B159, $D$1:$D$195, 0)-1</f>
        <v>62</v>
      </c>
      <c r="D159">
        <v>730.48</v>
      </c>
      <c r="F159">
        <v>158</v>
      </c>
      <c r="G159" s="3" cm="1">
        <f t="array" ref="G159">TRANSPOSE(_xlfn._xlws.FILTER($A$2:$A$2000, $C$2:$C$2000=F159))</f>
        <v>46357</v>
      </c>
      <c r="AA159" t="str" cm="1">
        <f t="array" ref="AA159">_xlfn.LET(_xlpm.dates, _xlfn._xlws.FILTER(G159:Z159, G159:Z159&lt;&gt;""),_xlpm.sorted,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"&amp;F159&amp;""": ["&amp;_xlpm.result&amp;"]")</f>
        <v>"Tier 158": [{"start": "2026-12-01", "end": "2026-12-01"}]</v>
      </c>
    </row>
    <row r="160" spans="1:27" x14ac:dyDescent="0.2">
      <c r="A160" s="3">
        <v>46227</v>
      </c>
      <c r="B160" s="1">
        <v>644.16999999999996</v>
      </c>
      <c r="C160">
        <f>MATCH(B160, $D$1:$D$195, 0)-1</f>
        <v>59</v>
      </c>
      <c r="D160">
        <v>731.26</v>
      </c>
      <c r="F160">
        <v>159</v>
      </c>
      <c r="G160" s="3" cm="1">
        <f t="array" ref="G160:J160">TRANSPOSE(_xlfn._xlws.FILTER($A$2:$A$2000, $C$2:$C$2000=F160))</f>
        <v>46358</v>
      </c>
      <c r="H160" s="3">
        <v>46359</v>
      </c>
      <c r="I160" s="3">
        <v>46360</v>
      </c>
      <c r="J160" s="3">
        <v>46365</v>
      </c>
      <c r="AA160" t="str" cm="1">
        <f t="array" ref="AA160">_xlfn.LET(_xlpm.dates, _xlfn._xlws.FILTER(G160:Z160, G160:Z160&lt;&gt;""),_xlpm.sorted,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"&amp;F160&amp;""": ["&amp;_xlpm.result&amp;"]")</f>
        <v>"Tier 159": [{"start": "2026-12-02", "end": "2026-12-02"},{"start": "2026-12-03", "end": "2026-12-03"},{"start": "2026-12-04", "end": "2026-12-04"},{"start": "2026-12-09", "end": "2026-12-09"}]</v>
      </c>
    </row>
    <row r="161" spans="1:27" x14ac:dyDescent="0.2">
      <c r="A161" s="3">
        <v>46228</v>
      </c>
      <c r="B161" s="1">
        <v>636.63</v>
      </c>
      <c r="C161">
        <f>MATCH(B161, $D$1:$D$195, 0)-1</f>
        <v>55</v>
      </c>
      <c r="D161">
        <v>732.8</v>
      </c>
      <c r="F161">
        <v>160</v>
      </c>
      <c r="G161" s="3" cm="1">
        <f t="array" ref="G161">TRANSPOSE(_xlfn._xlws.FILTER($A$2:$A$2000, $C$2:$C$2000=F161))</f>
        <v>46305</v>
      </c>
      <c r="AA161" t="str" cm="1">
        <f t="array" ref="AA161">_xlfn.LET(_xlpm.dates, _xlfn._xlws.FILTER(G161:Z161, G161:Z161&lt;&gt;""),_xlpm.sorted,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"&amp;F161&amp;""": ["&amp;_xlpm.result&amp;"]")</f>
        <v>"Tier 160": [{"start": "2026-10-10", "end": "2026-10-10"}]</v>
      </c>
    </row>
    <row r="162" spans="1:27" x14ac:dyDescent="0.2">
      <c r="A162" s="3">
        <v>46229</v>
      </c>
      <c r="B162" s="1">
        <v>629.1</v>
      </c>
      <c r="C162">
        <f>MATCH(B162, $D$1:$D$195, 0)-1</f>
        <v>53</v>
      </c>
      <c r="D162">
        <v>733.56</v>
      </c>
      <c r="F162">
        <v>161</v>
      </c>
      <c r="G162" s="3" cm="1">
        <f t="array" ref="G162">TRANSPOSE(_xlfn._xlws.FILTER($A$2:$A$2000, $C$2:$C$2000=F162))</f>
        <v>46338</v>
      </c>
      <c r="AA162" t="str" cm="1">
        <f t="array" ref="AA162">_xlfn.LET(_xlpm.dates, _xlfn._xlws.FILTER(G162:Z162, G162:Z162&lt;&gt;""),_xlpm.sorted,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"&amp;F162&amp;""": ["&amp;_xlpm.result&amp;"]")</f>
        <v>"Tier 161": [{"start": "2026-11-12", "end": "2026-11-12"}]</v>
      </c>
    </row>
    <row r="163" spans="1:27" x14ac:dyDescent="0.2">
      <c r="A163" s="3">
        <v>46230</v>
      </c>
      <c r="B163" s="1">
        <v>629.85</v>
      </c>
      <c r="C163">
        <f>MATCH(B163, $D$1:$D$195, 0)-1</f>
        <v>54</v>
      </c>
      <c r="D163">
        <v>735.1</v>
      </c>
      <c r="F163">
        <v>162</v>
      </c>
      <c r="G163" s="3" cm="1">
        <f t="array" ref="G163">TRANSPOSE(_xlfn._xlws.FILTER($A$2:$A$2000, $C$2:$C$2000=F163))</f>
        <v>46366</v>
      </c>
      <c r="AA163" t="str" cm="1">
        <f t="array" ref="AA163">_xlfn.LET(_xlpm.dates, _xlfn._xlws.FILTER(G163:Z163, G163:Z163&lt;&gt;""),_xlpm.sorted,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"&amp;F163&amp;""": ["&amp;_xlpm.result&amp;"]")</f>
        <v>"Tier 162": [{"start": "2026-12-10", "end": "2026-12-10"}]</v>
      </c>
    </row>
    <row r="164" spans="1:27" x14ac:dyDescent="0.2">
      <c r="A164" s="3">
        <v>46231</v>
      </c>
      <c r="B164" s="1">
        <v>638.14</v>
      </c>
      <c r="C164">
        <f>MATCH(B164, $D$1:$D$195, 0)-1</f>
        <v>56</v>
      </c>
      <c r="D164">
        <v>736.63</v>
      </c>
      <c r="F164">
        <v>163</v>
      </c>
      <c r="G164" s="3" cm="1">
        <f t="array" ref="G164">TRANSPOSE(_xlfn._xlws.FILTER($A$2:$A$2000, $C$2:$C$2000=F164))</f>
        <v>46304</v>
      </c>
      <c r="AA164" t="str" cm="1">
        <f t="array" ref="AA164">_xlfn.LET(_xlpm.dates, _xlfn._xlws.FILTER(G164:Z164, G164:Z164&lt;&gt;""),_xlpm.sorted,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"&amp;F164&amp;""": ["&amp;_xlpm.result&amp;"]")</f>
        <v>"Tier 163": [{"start": "2026-10-09", "end": "2026-10-09"}]</v>
      </c>
    </row>
    <row r="165" spans="1:27" x14ac:dyDescent="0.2">
      <c r="A165" s="3">
        <v>46232</v>
      </c>
      <c r="B165" s="1">
        <v>642.65</v>
      </c>
      <c r="C165">
        <f>MATCH(B165, $D$1:$D$195, 0)-1</f>
        <v>58</v>
      </c>
      <c r="D165">
        <v>737.4</v>
      </c>
      <c r="F165">
        <v>164</v>
      </c>
      <c r="G165" s="3" cm="1">
        <f t="array" ref="G165">TRANSPOSE(_xlfn._xlws.FILTER($A$2:$A$2000, $C$2:$C$2000=F165))</f>
        <v>46354</v>
      </c>
      <c r="AA165" t="str" cm="1">
        <f t="array" ref="AA165">_xlfn.LET(_xlpm.dates, _xlfn._xlws.FILTER(G165:Z165, G165:Z165&lt;&gt;""),_xlpm.sorted,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"&amp;F165&amp;""": ["&amp;_xlpm.result&amp;"]")</f>
        <v>"Tier 164": [{"start": "2026-11-28", "end": "2026-11-28"}]</v>
      </c>
    </row>
    <row r="166" spans="1:27" x14ac:dyDescent="0.2">
      <c r="A166" s="3">
        <v>46233</v>
      </c>
      <c r="B166" s="1">
        <v>640.41</v>
      </c>
      <c r="C166">
        <f>MATCH(B166, $D$1:$D$195, 0)-1</f>
        <v>57</v>
      </c>
      <c r="D166">
        <v>738.93</v>
      </c>
      <c r="F166">
        <v>165</v>
      </c>
      <c r="G166" s="3" cm="1">
        <f t="array" ref="G166">TRANSPOSE(_xlfn._xlws.FILTER($A$2:$A$2000, $C$2:$C$2000=F166))</f>
        <v>46367</v>
      </c>
      <c r="AA166" t="str" cm="1">
        <f t="array" ref="AA166">_xlfn.LET(_xlpm.dates, _xlfn._xlws.FILTER(G166:Z166, G166:Z166&lt;&gt;""),_xlpm.sorted,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"&amp;F166&amp;""": ["&amp;_xlpm.result&amp;"]")</f>
        <v>"Tier 165": [{"start": "2026-12-11", "end": "2026-12-11"}]</v>
      </c>
    </row>
    <row r="167" spans="1:27" x14ac:dyDescent="0.2">
      <c r="A167" s="3">
        <v>46234</v>
      </c>
      <c r="B167" s="1">
        <v>638.14</v>
      </c>
      <c r="C167">
        <f>MATCH(B167, $D$1:$D$195, 0)-1</f>
        <v>56</v>
      </c>
      <c r="D167">
        <v>739.7</v>
      </c>
      <c r="F167">
        <v>166</v>
      </c>
      <c r="G167" s="3" cm="1">
        <f t="array" ref="G167:I167">TRANSPOSE(_xlfn._xlws.FILTER($A$2:$A$2000, $C$2:$C$2000=F167))</f>
        <v>46339</v>
      </c>
      <c r="H167" s="3">
        <v>46369</v>
      </c>
      <c r="I167" s="3">
        <v>46370</v>
      </c>
      <c r="AA167" t="str" cm="1">
        <f t="array" ref="AA167">_xlfn.LET(_xlpm.dates, _xlfn._xlws.FILTER(G167:Z167, G167:Z167&lt;&gt;""),_xlpm.sorted,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"&amp;F167&amp;""": ["&amp;_xlpm.result&amp;"]")</f>
        <v>"Tier 166": [{"start": "2026-11-13", "end": "2026-11-13"},{"start": "2026-12-13", "end": "2026-12-13"},{"start": "2026-12-14", "end": "2026-12-14"}]</v>
      </c>
    </row>
    <row r="168" spans="1:27" x14ac:dyDescent="0.2">
      <c r="A168" s="3">
        <v>46235</v>
      </c>
      <c r="B168" s="1">
        <v>627.61</v>
      </c>
      <c r="C168">
        <f>MATCH(B168, $D$1:$D$195, 0)-1</f>
        <v>52</v>
      </c>
      <c r="D168">
        <v>740.48</v>
      </c>
      <c r="F168">
        <v>167</v>
      </c>
      <c r="G168" s="3" cm="1">
        <f t="array" ref="G168:H168">TRANSPOSE(_xlfn._xlws.FILTER($A$2:$A$2000, $C$2:$C$2000=F168))</f>
        <v>46341</v>
      </c>
      <c r="H168" s="3">
        <v>46342</v>
      </c>
      <c r="AA168" t="str" cm="1">
        <f t="array" ref="AA168">_xlfn.LET(_xlpm.dates, _xlfn._xlws.FILTER(G168:Z168, G168:Z168&lt;&gt;""),_xlpm.sorted,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"&amp;F168&amp;""": ["&amp;_xlpm.result&amp;"]")</f>
        <v>"Tier 167": [{"start": "2026-11-15", "end": "2026-11-15"},{"start": "2026-11-16", "end": "2026-11-16"}]</v>
      </c>
    </row>
    <row r="169" spans="1:27" x14ac:dyDescent="0.2">
      <c r="A169" s="3">
        <v>46236</v>
      </c>
      <c r="B169" s="1">
        <v>613.27</v>
      </c>
      <c r="C169">
        <f>MATCH(B169, $D$1:$D$195, 0)-1</f>
        <v>51</v>
      </c>
      <c r="D169">
        <v>742.78</v>
      </c>
      <c r="F169">
        <v>168</v>
      </c>
      <c r="G169" s="3" cm="1">
        <f t="array" ref="G169">TRANSPOSE(_xlfn._xlws.FILTER($A$2:$A$2000, $C$2:$C$2000=F169))</f>
        <v>46368</v>
      </c>
      <c r="AA169" t="str" cm="1">
        <f t="array" ref="AA169">_xlfn.LET(_xlpm.dates, _xlfn._xlws.FILTER(G169:Z169, G169:Z169&lt;&gt;""),_xlpm.sorted,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"&amp;F169&amp;""": ["&amp;_xlpm.result&amp;"]")</f>
        <v>"Tier 168": [{"start": "2026-12-12", "end": "2026-12-12"}]</v>
      </c>
    </row>
    <row r="170" spans="1:27" x14ac:dyDescent="0.2">
      <c r="A170" s="3">
        <v>46237</v>
      </c>
      <c r="B170" s="1">
        <v>602.73</v>
      </c>
      <c r="C170">
        <f>MATCH(B170, $D$1:$D$195, 0)-1</f>
        <v>43</v>
      </c>
      <c r="D170">
        <v>743.54</v>
      </c>
      <c r="F170">
        <v>169</v>
      </c>
      <c r="G170" s="3" cm="1">
        <f t="array" ref="G170">TRANSPOSE(_xlfn._xlws.FILTER($A$2:$A$2000, $C$2:$C$2000=F170))</f>
        <v>46340</v>
      </c>
      <c r="AA170" t="str" cm="1">
        <f t="array" ref="AA170">_xlfn.LET(_xlpm.dates, _xlfn._xlws.FILTER(G170:Z170, G170:Z170&lt;&gt;""),_xlpm.sorted,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"&amp;F170&amp;""": ["&amp;_xlpm.result&amp;"]")</f>
        <v>"Tier 169": [{"start": "2026-11-14", "end": "2026-11-14"}]</v>
      </c>
    </row>
    <row r="171" spans="1:27" x14ac:dyDescent="0.2">
      <c r="A171" s="3">
        <v>46238</v>
      </c>
      <c r="B171" s="1">
        <v>608.77</v>
      </c>
      <c r="C171">
        <f>MATCH(B171, $D$1:$D$195, 0)-1</f>
        <v>48</v>
      </c>
      <c r="D171">
        <v>744.32</v>
      </c>
      <c r="F171">
        <v>170</v>
      </c>
      <c r="G171" s="3" cm="1">
        <f t="array" ref="G171:H171">TRANSPOSE(_xlfn._xlws.FILTER($A$2:$A$2000, $C$2:$C$2000=F171))</f>
        <v>46343</v>
      </c>
      <c r="H171" s="3">
        <v>46371</v>
      </c>
      <c r="AA171" t="str" cm="1">
        <f t="array" ref="AA171">_xlfn.LET(_xlpm.dates, _xlfn._xlws.FILTER(G171:Z171, G171:Z171&lt;&gt;""),_xlpm.sorted,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"&amp;F171&amp;""": ["&amp;_xlpm.result&amp;"]")</f>
        <v>"Tier 170": [{"start": "2026-11-17", "end": "2026-11-17"},{"start": "2026-12-15", "end": "2026-12-15"}]</v>
      </c>
    </row>
    <row r="172" spans="1:27" x14ac:dyDescent="0.2">
      <c r="A172" s="3">
        <v>46239</v>
      </c>
      <c r="B172" s="1">
        <v>611.03</v>
      </c>
      <c r="C172">
        <f>MATCH(B172, $D$1:$D$195, 0)-1</f>
        <v>49</v>
      </c>
      <c r="D172">
        <v>745.07</v>
      </c>
      <c r="F172">
        <v>171</v>
      </c>
      <c r="G172" s="3" cm="1">
        <f t="array" ref="G172:H172">TRANSPOSE(_xlfn._xlws.FILTER($A$2:$A$2000, $C$2:$C$2000=F172))</f>
        <v>46344</v>
      </c>
      <c r="H172" s="3">
        <v>46353</v>
      </c>
      <c r="AA172" t="str" cm="1">
        <f t="array" ref="AA172">_xlfn.LET(_xlpm.dates, _xlfn._xlws.FILTER(G172:Z172, G172:Z172&lt;&gt;""),_xlpm.sorted,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"&amp;F172&amp;""": ["&amp;_xlpm.result&amp;"]")</f>
        <v>"Tier 171": [{"start": "2026-11-18", "end": "2026-11-18"},{"start": "2026-11-27", "end": "2026-11-27"}]</v>
      </c>
    </row>
    <row r="173" spans="1:27" x14ac:dyDescent="0.2">
      <c r="A173" s="3">
        <v>46240</v>
      </c>
      <c r="B173" s="1">
        <v>611.03</v>
      </c>
      <c r="C173">
        <f>MATCH(B173, $D$1:$D$195, 0)-1</f>
        <v>49</v>
      </c>
      <c r="D173">
        <v>748.92</v>
      </c>
      <c r="F173">
        <v>172</v>
      </c>
      <c r="G173" s="3" cm="1">
        <f t="array" ref="G173">TRANSPOSE(_xlfn._xlws.FILTER($A$2:$A$2000, $C$2:$C$2000=F173))</f>
        <v>46372</v>
      </c>
      <c r="AA173" t="str" cm="1">
        <f t="array" ref="AA173">_xlfn.LET(_xlpm.dates, _xlfn._xlws.FILTER(G173:Z173, G173:Z173&lt;&gt;""),_xlpm.sorted,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"&amp;F173&amp;""": ["&amp;_xlpm.result&amp;"]")</f>
        <v>"Tier 172": [{"start": "2026-12-16", "end": "2026-12-16"}]</v>
      </c>
    </row>
    <row r="174" spans="1:27" x14ac:dyDescent="0.2">
      <c r="A174" s="3">
        <v>46241</v>
      </c>
      <c r="B174" s="1">
        <v>606.51</v>
      </c>
      <c r="C174">
        <f>MATCH(B174, $D$1:$D$195, 0)-1</f>
        <v>46</v>
      </c>
      <c r="D174">
        <v>749.68</v>
      </c>
      <c r="F174">
        <v>173</v>
      </c>
      <c r="G174" s="3" cm="1">
        <f t="array" ref="G174">TRANSPOSE(_xlfn._xlws.FILTER($A$2:$A$2000, $C$2:$C$2000=F174))</f>
        <v>46345</v>
      </c>
      <c r="AA174" t="str" cm="1">
        <f t="array" ref="AA174">_xlfn.LET(_xlpm.dates, _xlfn._xlws.FILTER(G174:Z174, G174:Z174&lt;&gt;""),_xlpm.sorted,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"&amp;F174&amp;""": ["&amp;_xlpm.result&amp;"]")</f>
        <v>"Tier 173": [{"start": "2026-11-19", "end": "2026-11-19"}]</v>
      </c>
    </row>
    <row r="175" spans="1:27" x14ac:dyDescent="0.2">
      <c r="A175" s="3">
        <v>46242</v>
      </c>
      <c r="B175" s="1">
        <v>603.48</v>
      </c>
      <c r="C175">
        <f>MATCH(B175, $D$1:$D$195, 0)-1</f>
        <v>44</v>
      </c>
      <c r="D175">
        <v>752.76</v>
      </c>
      <c r="F175">
        <v>174</v>
      </c>
      <c r="G175" s="3" cm="1">
        <f t="array" ref="G175">TRANSPOSE(_xlfn._xlws.FILTER($A$2:$A$2000, $C$2:$C$2000=F175))</f>
        <v>46373</v>
      </c>
      <c r="AA175" t="str" cm="1">
        <f t="array" ref="AA175">_xlfn.LET(_xlpm.dates, _xlfn._xlws.FILTER(G175:Z175, G175:Z175&lt;&gt;""),_xlpm.sorted,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"&amp;F175&amp;""": ["&amp;_xlpm.result&amp;"]")</f>
        <v>"Tier 174": [{"start": "2026-12-17", "end": "2026-12-17"}]</v>
      </c>
    </row>
    <row r="176" spans="1:27" x14ac:dyDescent="0.2">
      <c r="A176" s="3">
        <v>46243</v>
      </c>
      <c r="B176" s="1">
        <v>593.69000000000005</v>
      </c>
      <c r="C176">
        <f>MATCH(B176, $D$1:$D$195, 0)-1</f>
        <v>40</v>
      </c>
      <c r="D176">
        <v>758.44</v>
      </c>
      <c r="F176">
        <v>175</v>
      </c>
      <c r="G176" s="3" cm="1">
        <f t="array" ref="G176:I176">TRANSPOSE(_xlfn._xlws.FILTER($A$2:$A$2000, $C$2:$C$2000=F176))</f>
        <v>46346</v>
      </c>
      <c r="H176" s="3">
        <v>46347</v>
      </c>
      <c r="I176" s="3">
        <v>46348</v>
      </c>
      <c r="AA176" t="str" cm="1">
        <f t="array" ref="AA176">_xlfn.LET(_xlpm.dates, _xlfn._xlws.FILTER(G176:Z176, G176:Z176&lt;&gt;""),_xlpm.sorted,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"&amp;F176&amp;""": ["&amp;_xlpm.result&amp;"]")</f>
        <v>"Tier 175": [{"start": "2026-11-20", "end": "2026-11-20"},{"start": "2026-11-21", "end": "2026-11-21"},{"start": "2026-11-22", "end": "2026-11-22"}]</v>
      </c>
    </row>
    <row r="177" spans="1:27" x14ac:dyDescent="0.2">
      <c r="A177" s="3">
        <v>46244</v>
      </c>
      <c r="B177" s="1">
        <v>590.15</v>
      </c>
      <c r="C177">
        <f>MATCH(B177, $D$1:$D$195, 0)-1</f>
        <v>39</v>
      </c>
      <c r="D177">
        <v>760.77</v>
      </c>
      <c r="F177">
        <v>176</v>
      </c>
      <c r="G177" s="3" cm="1">
        <f t="array" ref="G177">TRANSPOSE(_xlfn._xlws.FILTER($A$2:$A$2000, $C$2:$C$2000=F177))</f>
        <v>46387</v>
      </c>
      <c r="AA177" t="str" cm="1">
        <f t="array" ref="AA177">_xlfn.LET(_xlpm.dates, _xlfn._xlws.FILTER(G177:Z177, G177:Z177&lt;&gt;""),_xlpm.sorted,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"&amp;F177&amp;""": ["&amp;_xlpm.result&amp;"]")</f>
        <v>"Tier 176": [{"start": "2026-12-31", "end": "2026-12-31"}]</v>
      </c>
    </row>
    <row r="178" spans="1:27" x14ac:dyDescent="0.2">
      <c r="A178" s="3">
        <v>46245</v>
      </c>
      <c r="B178" s="1">
        <v>597.66999999999996</v>
      </c>
      <c r="C178">
        <f>MATCH(B178, $D$1:$D$195, 0)-1</f>
        <v>41</v>
      </c>
      <c r="D178">
        <v>762.34</v>
      </c>
      <c r="F178">
        <v>177</v>
      </c>
      <c r="G178" s="3" cm="1">
        <f t="array" ref="G178:I178">TRANSPOSE(_xlfn._xlws.FILTER($A$2:$A$2000, $C$2:$C$2000=F178))</f>
        <v>46349</v>
      </c>
      <c r="H178" s="3">
        <v>46350</v>
      </c>
      <c r="I178" s="3">
        <v>46352</v>
      </c>
      <c r="AA178" t="str" cm="1">
        <f t="array" ref="AA178">_xlfn.LET(_xlpm.dates, _xlfn._xlws.FILTER(G178:Z178, G178:Z178&lt;&gt;""),_xlpm.sorted,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"&amp;F178&amp;""": ["&amp;_xlpm.result&amp;"]")</f>
        <v>"Tier 177": [{"start": "2026-11-23", "end": "2026-11-23"},{"start": "2026-11-24", "end": "2026-11-24"},{"start": "2026-11-26", "end": "2026-11-26"}]</v>
      </c>
    </row>
    <row r="179" spans="1:27" x14ac:dyDescent="0.2">
      <c r="A179" s="3">
        <v>46246</v>
      </c>
      <c r="B179" s="1">
        <v>604.42999999999995</v>
      </c>
      <c r="C179">
        <f>MATCH(B179, $D$1:$D$195, 0)-1</f>
        <v>45</v>
      </c>
      <c r="D179">
        <v>766.2</v>
      </c>
      <c r="F179">
        <v>178</v>
      </c>
      <c r="G179" s="3" cm="1">
        <f t="array" ref="G179:H179">TRANSPOSE(_xlfn._xlws.FILTER($A$2:$A$2000, $C$2:$C$2000=F179))</f>
        <v>46351</v>
      </c>
      <c r="H179" s="3">
        <v>46374</v>
      </c>
      <c r="AA179" t="str" cm="1">
        <f t="array" ref="AA179">_xlfn.LET(_xlpm.dates, _xlfn._xlws.FILTER(G179:Z179, G179:Z179&lt;&gt;""),_xlpm.sorted,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"&amp;F179&amp;""": ["&amp;_xlpm.result&amp;"]")</f>
        <v>"Tier 178": [{"start": "2026-11-25", "end": "2026-11-25"},{"start": "2026-12-18", "end": "2026-12-18"}]</v>
      </c>
    </row>
    <row r="180" spans="1:27" x14ac:dyDescent="0.2">
      <c r="A180" s="3">
        <v>46247</v>
      </c>
      <c r="B180" s="1">
        <v>607.44000000000005</v>
      </c>
      <c r="C180">
        <f>MATCH(B180, $D$1:$D$195, 0)-1</f>
        <v>47</v>
      </c>
      <c r="D180">
        <v>769.3</v>
      </c>
      <c r="F180">
        <v>179</v>
      </c>
      <c r="G180" s="3" cm="1">
        <f t="array" ref="G180">TRANSPOSE(_xlfn._xlws.FILTER($A$2:$A$2000, $C$2:$C$2000=F180))</f>
        <v>46386</v>
      </c>
      <c r="AA180" t="str" cm="1">
        <f t="array" ref="AA180">_xlfn.LET(_xlpm.dates, _xlfn._xlws.FILTER(G180:Z180, G180:Z180&lt;&gt;""),_xlpm.sorted,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"&amp;F180&amp;""": ["&amp;_xlpm.result&amp;"]")</f>
        <v>"Tier 179": [{"start": "2026-12-30", "end": "2026-12-30"}]</v>
      </c>
    </row>
    <row r="181" spans="1:27" x14ac:dyDescent="0.2">
      <c r="A181" s="3">
        <v>46248</v>
      </c>
      <c r="B181" s="1">
        <v>589.16999999999996</v>
      </c>
      <c r="C181">
        <f>MATCH(B181, $D$1:$D$195, 0)-1</f>
        <v>38</v>
      </c>
      <c r="D181">
        <v>770.86</v>
      </c>
      <c r="F181">
        <v>180</v>
      </c>
      <c r="G181" s="3" cm="1">
        <f t="array" ref="G181:H181">TRANSPOSE(_xlfn._xlws.FILTER($A$2:$A$2000, $C$2:$C$2000=F181))</f>
        <v>46375</v>
      </c>
      <c r="H181" s="3">
        <v>46376</v>
      </c>
      <c r="AA181" t="str" cm="1">
        <f t="array" ref="AA181">_xlfn.LET(_xlpm.dates, _xlfn._xlws.FILTER(G181:Z181, G181:Z181&lt;&gt;""),_xlpm.sorted,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"&amp;F181&amp;""": ["&amp;_xlpm.result&amp;"]")</f>
        <v>"Tier 180": [{"start": "2026-12-19", "end": "2026-12-19"},{"start": "2026-12-20", "end": "2026-12-20"}]</v>
      </c>
    </row>
    <row r="182" spans="1:27" x14ac:dyDescent="0.2">
      <c r="A182" s="3">
        <v>46249</v>
      </c>
      <c r="B182" s="1">
        <v>574.11</v>
      </c>
      <c r="C182">
        <f>MATCH(B182, $D$1:$D$195, 0)-1</f>
        <v>32</v>
      </c>
      <c r="D182">
        <v>771.63</v>
      </c>
      <c r="F182">
        <v>181</v>
      </c>
      <c r="G182" s="3" cm="1">
        <f t="array" ref="G182">TRANSPOSE(_xlfn._xlws.FILTER($A$2:$A$2000, $C$2:$C$2000=F182))</f>
        <v>46377</v>
      </c>
      <c r="AA182" t="str" cm="1">
        <f t="array" ref="AA182">_xlfn.LET(_xlpm.dates, _xlfn._xlws.FILTER(G182:Z182, G182:Z182&lt;&gt;""),_xlpm.sorted,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"&amp;F182&amp;""": ["&amp;_xlpm.result&amp;"]")</f>
        <v>"Tier 181": [{"start": "2026-12-21", "end": "2026-12-21"}]</v>
      </c>
    </row>
    <row r="183" spans="1:27" x14ac:dyDescent="0.2">
      <c r="A183" s="3">
        <v>46250</v>
      </c>
      <c r="B183" s="1">
        <v>548.49</v>
      </c>
      <c r="C183">
        <f>MATCH(B183, $D$1:$D$195, 0)-1</f>
        <v>17</v>
      </c>
      <c r="D183">
        <v>772.41</v>
      </c>
      <c r="F183">
        <v>182</v>
      </c>
      <c r="G183" s="3" cm="1">
        <f t="array" ref="G183:K183">TRANSPOSE(_xlfn._xlws.FILTER($A$2:$A$2000, $C$2:$C$2000=F183))</f>
        <v>46378</v>
      </c>
      <c r="H183" s="3">
        <v>46379</v>
      </c>
      <c r="I183" s="3">
        <v>46380</v>
      </c>
      <c r="J183" s="3">
        <v>46381</v>
      </c>
      <c r="K183" s="3">
        <v>46382</v>
      </c>
      <c r="AA183" t="str" cm="1">
        <f t="array" ref="AA183">_xlfn.LET(_xlpm.dates, _xlfn._xlws.FILTER(G183:Z183, G183:Z183&lt;&gt;""),_xlpm.sorted,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"&amp;F183&amp;""": ["&amp;_xlpm.result&amp;"]")</f>
        <v>"Tier 182": [{"start": "2026-12-22", "end": "2026-12-22"},{"start": "2026-12-23", "end": "2026-12-23"},{"start": "2026-12-24", "end": "2026-12-24"},{"start": "2026-12-25", "end": "2026-12-25"},{"start": "2026-12-26", "end": "2026-12-26"}]</v>
      </c>
    </row>
    <row r="184" spans="1:27" x14ac:dyDescent="0.2">
      <c r="A184" s="3">
        <v>46251</v>
      </c>
      <c r="B184" s="1">
        <v>527.39</v>
      </c>
      <c r="C184">
        <f>MATCH(B184, $D$1:$D$195, 0)-1</f>
        <v>4</v>
      </c>
      <c r="D184">
        <v>773.96</v>
      </c>
      <c r="F184">
        <v>183</v>
      </c>
      <c r="G184" s="3" cm="1">
        <f t="array" ref="G184">TRANSPOSE(_xlfn._xlws.FILTER($A$2:$A$2000, $C$2:$C$2000=F184))</f>
        <v>46385</v>
      </c>
      <c r="AA184" t="str" cm="1">
        <f t="array" ref="AA184">_xlfn.LET(_xlpm.dates, _xlfn._xlws.FILTER(G184:Z184, G184:Z184&lt;&gt;""),_xlpm.sorted,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"&amp;F184&amp;""": ["&amp;_xlpm.result&amp;"]")</f>
        <v>"Tier 183": [{"start": "2026-12-29", "end": "2026-12-29"}]</v>
      </c>
    </row>
    <row r="185" spans="1:27" x14ac:dyDescent="0.2">
      <c r="A185" s="3">
        <v>46252</v>
      </c>
      <c r="B185" s="1">
        <v>519.48</v>
      </c>
      <c r="C185">
        <f>MATCH(B185, $D$1:$D$195, 0)-1</f>
        <v>1</v>
      </c>
      <c r="D185">
        <v>774.74</v>
      </c>
      <c r="F185">
        <v>184</v>
      </c>
      <c r="G185" s="3" cm="1">
        <f t="array" ref="G185:H185">TRANSPOSE(_xlfn._xlws.FILTER($A$2:$A$2000, $C$2:$C$2000=F185))</f>
        <v>46383</v>
      </c>
      <c r="H185" s="3">
        <v>46384</v>
      </c>
      <c r="AA185" t="str" cm="1">
        <f t="array" ref="AA185">_xlfn.LET(_xlpm.dates, _xlfn._xlws.FILTER(G185:Z185, G185:Z185&lt;&gt;""),_xlpm.sorted,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"&amp;F185&amp;""": ["&amp;_xlpm.result&amp;"]")</f>
        <v>"Tier 184": [{"start": "2026-12-27", "end": "2026-12-27"},{"start": "2026-12-28", "end": "2026-12-28"}]</v>
      </c>
    </row>
    <row r="186" spans="1:27" x14ac:dyDescent="0.2">
      <c r="A186" s="3">
        <v>46253</v>
      </c>
      <c r="B186" s="1">
        <v>531.5</v>
      </c>
      <c r="C186">
        <f>MATCH(B186, $D$1:$D$195, 0)-1</f>
        <v>6</v>
      </c>
      <c r="D186">
        <v>0</v>
      </c>
      <c r="F186">
        <v>0</v>
      </c>
      <c r="G186" s="3" t="e" cm="1" vm="4">
        <f t="array" aca="1" ref="G186" ca="1">TRANSPOSE(_xlfn._xlws.FILTER($A$2:$A$2000, $C$2:$C$2000=F186))</f>
        <v>#VALUE!</v>
      </c>
      <c r="AA186" t="e" cm="1" vm="2">
        <f t="array" aca="1" ref="AA186" ca="1">_xlfn.LET(_xlpm.dates, _xlfn._xlws.FILTER(G186:Z186, G186:Z186&lt;&gt;""),_xlpm.sorted,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"&amp;F186&amp;""": ["&amp;_xlpm.result&amp;"]")</f>
        <v>#VALUE!</v>
      </c>
    </row>
    <row r="187" spans="1:27" x14ac:dyDescent="0.2">
      <c r="A187" s="3">
        <v>46254</v>
      </c>
      <c r="B187" s="1">
        <v>526.24</v>
      </c>
      <c r="C187">
        <f>MATCH(B187, $D$1:$D$195, 0)-1</f>
        <v>3</v>
      </c>
      <c r="G187" s="3" t="e" cm="1" vm="4">
        <f t="array" aca="1" ref="G187" ca="1">TRANSPOSE(_xlfn._xlws.FILTER($A$2:$A$2000, $C$2:$C$2000=F187))</f>
        <v>#VALUE!</v>
      </c>
      <c r="AA187" t="e" cm="1" vm="2">
        <f t="array" aca="1" ref="AA187" ca="1">_xlfn.LET(_xlpm.dates, _xlfn._xlws.FILTER(G187:Z187, G187:Z187&lt;&gt;""),_xlpm.sorted,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"&amp;F187&amp;""": ["&amp;_xlpm.result&amp;"]")</f>
        <v>#VALUE!</v>
      </c>
    </row>
    <row r="188" spans="1:27" x14ac:dyDescent="0.2">
      <c r="A188" s="3">
        <v>46255</v>
      </c>
      <c r="B188" s="1">
        <v>531.5</v>
      </c>
      <c r="C188">
        <f>MATCH(B188, $D$1:$D$195, 0)-1</f>
        <v>6</v>
      </c>
      <c r="G188" s="3" t="e" cm="1" vm="4">
        <f t="array" aca="1" ref="G188" ca="1">TRANSPOSE(_xlfn._xlws.FILTER($A$2:$A$2000, $C$2:$C$2000=F188))</f>
        <v>#VALUE!</v>
      </c>
      <c r="AA188" t="e" cm="1" vm="2">
        <f t="array" aca="1" ref="AA188" ca="1">_xlfn.LET(_xlpm.dates, _xlfn._xlws.FILTER(G188:Z188, G188:Z188&lt;&gt;""),_xlpm.sorted,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"&amp;F188&amp;""": ["&amp;_xlpm.result&amp;"]")</f>
        <v>#VALUE!</v>
      </c>
    </row>
    <row r="189" spans="1:27" x14ac:dyDescent="0.2">
      <c r="A189" s="3">
        <v>46256</v>
      </c>
      <c r="B189" s="1">
        <v>543.21</v>
      </c>
      <c r="C189">
        <f>MATCH(B189, $D$1:$D$195, 0)-1</f>
        <v>13</v>
      </c>
    </row>
    <row r="190" spans="1:27" x14ac:dyDescent="0.2">
      <c r="A190" s="3">
        <v>46257</v>
      </c>
      <c r="B190" s="1">
        <v>543.21</v>
      </c>
      <c r="C190">
        <f>MATCH(B190, $D$1:$D$195, 0)-1</f>
        <v>13</v>
      </c>
    </row>
    <row r="191" spans="1:27" x14ac:dyDescent="0.2">
      <c r="A191" s="3">
        <v>46258</v>
      </c>
      <c r="B191" s="1">
        <v>545.04</v>
      </c>
      <c r="C191">
        <f>MATCH(B191, $D$1:$D$195, 0)-1</f>
        <v>14</v>
      </c>
    </row>
    <row r="192" spans="1:27" x14ac:dyDescent="0.2">
      <c r="A192" s="3">
        <v>46259</v>
      </c>
      <c r="B192" s="1">
        <v>562.33000000000004</v>
      </c>
      <c r="C192">
        <f>MATCH(B192, $D$1:$D$195, 0)-1</f>
        <v>24</v>
      </c>
    </row>
    <row r="193" spans="1:3" x14ac:dyDescent="0.2">
      <c r="A193" s="3">
        <v>46260</v>
      </c>
      <c r="B193" s="1">
        <v>572.09</v>
      </c>
      <c r="C193">
        <f>MATCH(B193, $D$1:$D$195, 0)-1</f>
        <v>30</v>
      </c>
    </row>
    <row r="194" spans="1:3" x14ac:dyDescent="0.2">
      <c r="A194" s="3">
        <v>46261</v>
      </c>
      <c r="B194" s="1">
        <v>580.38</v>
      </c>
      <c r="C194">
        <f>MATCH(B194, $D$1:$D$195, 0)-1</f>
        <v>37</v>
      </c>
    </row>
    <row r="195" spans="1:3" x14ac:dyDescent="0.2">
      <c r="A195" s="3">
        <v>46262</v>
      </c>
      <c r="B195" s="1">
        <v>575.11</v>
      </c>
      <c r="C195">
        <f>MATCH(B195, $D$1:$D$195, 0)-1</f>
        <v>33</v>
      </c>
    </row>
    <row r="196" spans="1:3" x14ac:dyDescent="0.2">
      <c r="A196" s="3">
        <v>46263</v>
      </c>
      <c r="B196" s="1">
        <v>568.83000000000004</v>
      </c>
      <c r="C196">
        <f>MATCH(B196, $D$1:$D$195, 0)-1</f>
        <v>29</v>
      </c>
    </row>
    <row r="197" spans="1:3" x14ac:dyDescent="0.2">
      <c r="A197" s="3">
        <v>46264</v>
      </c>
      <c r="B197" s="1">
        <v>556.01</v>
      </c>
      <c r="C197">
        <f>MATCH(B197, $D$1:$D$195, 0)-1</f>
        <v>20</v>
      </c>
    </row>
    <row r="198" spans="1:3" x14ac:dyDescent="0.2">
      <c r="A198" s="3">
        <v>46265</v>
      </c>
      <c r="B198" s="1">
        <v>553.76</v>
      </c>
      <c r="C198">
        <f>MATCH(B198, $D$1:$D$195, 0)-1</f>
        <v>19</v>
      </c>
    </row>
    <row r="199" spans="1:3" x14ac:dyDescent="0.2">
      <c r="A199" s="3">
        <v>46266</v>
      </c>
      <c r="B199" s="2">
        <v>551.05999999999995</v>
      </c>
      <c r="C199">
        <f>MATCH(B199, $D$1:$D$195, 0)-1</f>
        <v>18</v>
      </c>
    </row>
    <row r="200" spans="1:3" x14ac:dyDescent="0.2">
      <c r="A200" s="3">
        <v>46267</v>
      </c>
      <c r="B200" s="2">
        <v>563.08000000000004</v>
      </c>
      <c r="C200">
        <f>MATCH(B200, $D$1:$D$195, 0)-1</f>
        <v>26</v>
      </c>
    </row>
    <row r="201" spans="1:3" x14ac:dyDescent="0.2">
      <c r="A201" s="3">
        <v>46268</v>
      </c>
      <c r="B201" s="2">
        <v>578.12</v>
      </c>
      <c r="C201">
        <f>MATCH(B201, $D$1:$D$195, 0)-1</f>
        <v>35</v>
      </c>
    </row>
    <row r="202" spans="1:3" x14ac:dyDescent="0.2">
      <c r="A202" s="3">
        <v>46269</v>
      </c>
      <c r="B202" s="2">
        <v>575.6</v>
      </c>
      <c r="C202">
        <f>MATCH(B202, $D$1:$D$195, 0)-1</f>
        <v>34</v>
      </c>
    </row>
    <row r="203" spans="1:3" x14ac:dyDescent="0.2">
      <c r="A203" s="3">
        <v>46270</v>
      </c>
      <c r="B203" s="2">
        <v>562.79999999999995</v>
      </c>
      <c r="C203">
        <f>MATCH(B203, $D$1:$D$195, 0)-1</f>
        <v>25</v>
      </c>
    </row>
    <row r="204" spans="1:3" x14ac:dyDescent="0.2">
      <c r="A204" s="3">
        <v>46271</v>
      </c>
      <c r="B204" s="2">
        <v>546.22</v>
      </c>
      <c r="C204">
        <f>MATCH(B204, $D$1:$D$195, 0)-1</f>
        <v>15</v>
      </c>
    </row>
    <row r="205" spans="1:3" x14ac:dyDescent="0.2">
      <c r="A205" s="3">
        <v>46272</v>
      </c>
      <c r="B205" s="2">
        <v>534.91999999999996</v>
      </c>
      <c r="C205">
        <f>MATCH(B205, $D$1:$D$195, 0)-1</f>
        <v>7</v>
      </c>
    </row>
    <row r="206" spans="1:3" x14ac:dyDescent="0.2">
      <c r="A206" s="3">
        <v>46273</v>
      </c>
      <c r="B206" s="2">
        <v>521.74</v>
      </c>
      <c r="C206">
        <f>MATCH(B206, $D$1:$D$195, 0)-1</f>
        <v>2</v>
      </c>
    </row>
    <row r="207" spans="1:3" x14ac:dyDescent="0.2">
      <c r="A207" s="3">
        <v>46274</v>
      </c>
      <c r="B207" s="2">
        <v>530.01</v>
      </c>
      <c r="C207">
        <f>MATCH(B207, $D$1:$D$195, 0)-1</f>
        <v>5</v>
      </c>
    </row>
    <row r="208" spans="1:3" x14ac:dyDescent="0.2">
      <c r="A208" s="3">
        <v>46275</v>
      </c>
      <c r="B208" s="2">
        <v>536.78</v>
      </c>
      <c r="C208">
        <f>MATCH(B208, $D$1:$D$195, 0)-1</f>
        <v>9</v>
      </c>
    </row>
    <row r="209" spans="1:3" x14ac:dyDescent="0.2">
      <c r="A209" s="3">
        <v>46276</v>
      </c>
      <c r="B209" s="2">
        <v>541.70000000000005</v>
      </c>
      <c r="C209">
        <f>MATCH(B209, $D$1:$D$195, 0)-1</f>
        <v>12</v>
      </c>
    </row>
    <row r="210" spans="1:3" x14ac:dyDescent="0.2">
      <c r="A210" s="3">
        <v>46277</v>
      </c>
      <c r="B210" s="2">
        <v>540.19000000000005</v>
      </c>
      <c r="C210">
        <f>MATCH(B210, $D$1:$D$195, 0)-1</f>
        <v>11</v>
      </c>
    </row>
    <row r="211" spans="1:3" x14ac:dyDescent="0.2">
      <c r="A211" s="3">
        <v>46278</v>
      </c>
      <c r="B211" s="2">
        <v>536.42999999999995</v>
      </c>
      <c r="C211">
        <f>MATCH(B211, $D$1:$D$195, 0)-1</f>
        <v>8</v>
      </c>
    </row>
    <row r="212" spans="1:3" x14ac:dyDescent="0.2">
      <c r="A212" s="3">
        <v>46279</v>
      </c>
      <c r="B212" s="2">
        <v>539.01</v>
      </c>
      <c r="C212">
        <f>MATCH(B212, $D$1:$D$195, 0)-1</f>
        <v>10</v>
      </c>
    </row>
    <row r="213" spans="1:3" x14ac:dyDescent="0.2">
      <c r="A213" s="3">
        <v>46280</v>
      </c>
      <c r="B213" s="2">
        <v>547.29999999999995</v>
      </c>
      <c r="C213">
        <f>MATCH(B213, $D$1:$D$195, 0)-1</f>
        <v>16</v>
      </c>
    </row>
    <row r="214" spans="1:3" x14ac:dyDescent="0.2">
      <c r="A214" s="3">
        <v>46281</v>
      </c>
      <c r="B214" s="2">
        <v>557.80999999999995</v>
      </c>
      <c r="C214">
        <f>MATCH(B214, $D$1:$D$195, 0)-1</f>
        <v>22</v>
      </c>
    </row>
    <row r="215" spans="1:3" x14ac:dyDescent="0.2">
      <c r="A215" s="3">
        <v>46282</v>
      </c>
      <c r="B215" s="2">
        <v>563.08000000000004</v>
      </c>
      <c r="C215">
        <f>MATCH(B215, $D$1:$D$195, 0)-1</f>
        <v>26</v>
      </c>
    </row>
    <row r="216" spans="1:3" x14ac:dyDescent="0.2">
      <c r="A216" s="3">
        <v>46283</v>
      </c>
      <c r="B216" s="2">
        <v>565.79999999999995</v>
      </c>
      <c r="C216">
        <f>MATCH(B216, $D$1:$D$195, 0)-1</f>
        <v>28</v>
      </c>
    </row>
    <row r="217" spans="1:3" x14ac:dyDescent="0.2">
      <c r="A217" s="3">
        <v>46284</v>
      </c>
      <c r="B217" s="2">
        <v>559.02</v>
      </c>
      <c r="C217">
        <f>MATCH(B217, $D$1:$D$195, 0)-1</f>
        <v>23</v>
      </c>
    </row>
    <row r="218" spans="1:3" x14ac:dyDescent="0.2">
      <c r="A218" s="3">
        <v>46285</v>
      </c>
      <c r="B218" s="2">
        <v>553.76</v>
      </c>
      <c r="C218">
        <f>MATCH(B218, $D$1:$D$195, 0)-1</f>
        <v>19</v>
      </c>
    </row>
    <row r="219" spans="1:3" x14ac:dyDescent="0.2">
      <c r="A219" s="3">
        <v>46286</v>
      </c>
      <c r="B219" s="2">
        <v>556.78</v>
      </c>
      <c r="C219">
        <f>MATCH(B219, $D$1:$D$195, 0)-1</f>
        <v>21</v>
      </c>
    </row>
    <row r="220" spans="1:3" x14ac:dyDescent="0.2">
      <c r="A220" s="3">
        <v>46287</v>
      </c>
      <c r="B220" s="2">
        <v>565.33000000000004</v>
      </c>
      <c r="C220">
        <f>MATCH(B220, $D$1:$D$195, 0)-1</f>
        <v>27</v>
      </c>
    </row>
    <row r="221" spans="1:3" x14ac:dyDescent="0.2">
      <c r="A221" s="3">
        <v>46288</v>
      </c>
      <c r="B221" s="2">
        <v>572.86</v>
      </c>
      <c r="C221">
        <f>MATCH(B221, $D$1:$D$195, 0)-1</f>
        <v>31</v>
      </c>
    </row>
    <row r="222" spans="1:3" x14ac:dyDescent="0.2">
      <c r="A222" s="3">
        <v>46289</v>
      </c>
      <c r="B222" s="2">
        <v>578.89</v>
      </c>
      <c r="C222">
        <f>MATCH(B222, $D$1:$D$195, 0)-1</f>
        <v>36</v>
      </c>
    </row>
    <row r="223" spans="1:3" x14ac:dyDescent="0.2">
      <c r="A223" s="3">
        <v>46290</v>
      </c>
      <c r="B223" s="2">
        <v>589.16999999999996</v>
      </c>
      <c r="C223">
        <f>MATCH(B223, $D$1:$D$195, 0)-1</f>
        <v>38</v>
      </c>
    </row>
    <row r="224" spans="1:3" x14ac:dyDescent="0.2">
      <c r="A224" s="3">
        <v>46291</v>
      </c>
      <c r="B224" s="2">
        <v>601.21</v>
      </c>
      <c r="C224">
        <f>MATCH(B224, $D$1:$D$195, 0)-1</f>
        <v>42</v>
      </c>
    </row>
    <row r="225" spans="1:3" x14ac:dyDescent="0.2">
      <c r="A225" s="3">
        <v>46292</v>
      </c>
      <c r="B225" s="1">
        <v>612.52</v>
      </c>
      <c r="C225">
        <f>MATCH(B225, $D$1:$D$195, 0)-1</f>
        <v>50</v>
      </c>
    </row>
    <row r="226" spans="1:3" x14ac:dyDescent="0.2">
      <c r="A226" s="3">
        <v>46293</v>
      </c>
      <c r="B226" s="1">
        <v>646.83000000000004</v>
      </c>
      <c r="C226">
        <f>MATCH(B226, $D$1:$D$195, 0)-1</f>
        <v>61</v>
      </c>
    </row>
    <row r="227" spans="1:3" x14ac:dyDescent="0.2">
      <c r="A227" s="3">
        <v>46294</v>
      </c>
      <c r="B227" s="1">
        <v>672.11</v>
      </c>
      <c r="C227">
        <f>MATCH(B227, $D$1:$D$195, 0)-1</f>
        <v>70</v>
      </c>
    </row>
    <row r="228" spans="1:3" x14ac:dyDescent="0.2">
      <c r="A228" s="3">
        <v>46295</v>
      </c>
      <c r="B228" s="1">
        <v>694.39</v>
      </c>
      <c r="C228">
        <f>MATCH(B228, $D$1:$D$195, 0)-1</f>
        <v>93</v>
      </c>
    </row>
    <row r="229" spans="1:3" x14ac:dyDescent="0.2">
      <c r="A229" s="3">
        <v>46296</v>
      </c>
      <c r="B229" s="1">
        <v>702.08</v>
      </c>
      <c r="C229">
        <f>MATCH(B229, $D$1:$D$195, 0)-1</f>
        <v>107</v>
      </c>
    </row>
    <row r="230" spans="1:3" x14ac:dyDescent="0.2">
      <c r="A230" s="3">
        <v>46297</v>
      </c>
      <c r="B230" s="1">
        <v>706.67</v>
      </c>
      <c r="C230">
        <f>MATCH(B230, $D$1:$D$195, 0)-1</f>
        <v>115</v>
      </c>
    </row>
    <row r="231" spans="1:3" x14ac:dyDescent="0.2">
      <c r="A231" s="3">
        <v>46298</v>
      </c>
      <c r="B231" s="1">
        <v>710.52</v>
      </c>
      <c r="C231">
        <f>MATCH(B231, $D$1:$D$195, 0)-1</f>
        <v>122</v>
      </c>
    </row>
    <row r="232" spans="1:3" x14ac:dyDescent="0.2">
      <c r="A232" s="3">
        <v>46299</v>
      </c>
      <c r="B232" s="1">
        <v>705.13</v>
      </c>
      <c r="C232">
        <f>MATCH(B232, $D$1:$D$195, 0)-1</f>
        <v>113</v>
      </c>
    </row>
    <row r="233" spans="1:3" x14ac:dyDescent="0.2">
      <c r="A233" s="3">
        <v>46300</v>
      </c>
      <c r="B233" s="1">
        <v>708.97</v>
      </c>
      <c r="C233">
        <f>MATCH(B233, $D$1:$D$195, 0)-1</f>
        <v>119</v>
      </c>
    </row>
    <row r="234" spans="1:3" x14ac:dyDescent="0.2">
      <c r="A234" s="3">
        <v>46301</v>
      </c>
      <c r="B234" s="1">
        <v>717.44</v>
      </c>
      <c r="C234">
        <f>MATCH(B234, $D$1:$D$195, 0)-1</f>
        <v>137</v>
      </c>
    </row>
    <row r="235" spans="1:3" x14ac:dyDescent="0.2">
      <c r="A235" s="3">
        <v>46302</v>
      </c>
      <c r="B235" s="1">
        <v>726.64</v>
      </c>
      <c r="C235">
        <f>MATCH(B235, $D$1:$D$195, 0)-1</f>
        <v>152</v>
      </c>
    </row>
    <row r="236" spans="1:3" x14ac:dyDescent="0.2">
      <c r="A236" s="3">
        <v>46303</v>
      </c>
      <c r="B236" s="1">
        <v>728.96</v>
      </c>
      <c r="C236">
        <f>MATCH(B236, $D$1:$D$195, 0)-1</f>
        <v>157</v>
      </c>
    </row>
    <row r="237" spans="1:3" x14ac:dyDescent="0.2">
      <c r="A237" s="3">
        <v>46304</v>
      </c>
      <c r="B237" s="1">
        <v>736.63</v>
      </c>
      <c r="C237">
        <f>MATCH(B237, $D$1:$D$195, 0)-1</f>
        <v>163</v>
      </c>
    </row>
    <row r="238" spans="1:3" x14ac:dyDescent="0.2">
      <c r="A238" s="3">
        <v>46305</v>
      </c>
      <c r="B238" s="1">
        <v>732.8</v>
      </c>
      <c r="C238">
        <f>MATCH(B238, $D$1:$D$195, 0)-1</f>
        <v>160</v>
      </c>
    </row>
    <row r="239" spans="1:3" x14ac:dyDescent="0.2">
      <c r="A239" s="3">
        <v>46306</v>
      </c>
      <c r="B239" s="1">
        <v>727.42</v>
      </c>
      <c r="C239">
        <f>MATCH(B239, $D$1:$D$195, 0)-1</f>
        <v>154</v>
      </c>
    </row>
    <row r="240" spans="1:3" x14ac:dyDescent="0.2">
      <c r="A240" s="3">
        <v>46307</v>
      </c>
      <c r="B240" s="1">
        <v>726.64</v>
      </c>
      <c r="C240">
        <f>MATCH(B240, $D$1:$D$195, 0)-1</f>
        <v>152</v>
      </c>
    </row>
    <row r="241" spans="1:3" x14ac:dyDescent="0.2">
      <c r="A241" s="3">
        <v>46308</v>
      </c>
      <c r="B241" s="1">
        <v>727.42</v>
      </c>
      <c r="C241">
        <f>MATCH(B241, $D$1:$D$195, 0)-1</f>
        <v>154</v>
      </c>
    </row>
    <row r="242" spans="1:3" x14ac:dyDescent="0.2">
      <c r="A242" s="3">
        <v>46309</v>
      </c>
      <c r="B242" s="1">
        <v>728.18</v>
      </c>
      <c r="C242">
        <f>MATCH(B242, $D$1:$D$195, 0)-1</f>
        <v>156</v>
      </c>
    </row>
    <row r="243" spans="1:3" x14ac:dyDescent="0.2">
      <c r="A243" s="3">
        <v>46310</v>
      </c>
      <c r="B243" s="1">
        <v>724.33</v>
      </c>
      <c r="C243">
        <f>MATCH(B243, $D$1:$D$195, 0)-1</f>
        <v>148</v>
      </c>
    </row>
    <row r="244" spans="1:3" x14ac:dyDescent="0.2">
      <c r="A244" s="3">
        <v>46311</v>
      </c>
      <c r="B244" s="1">
        <v>720.51</v>
      </c>
      <c r="C244">
        <f>MATCH(B244, $D$1:$D$195, 0)-1</f>
        <v>142</v>
      </c>
    </row>
    <row r="245" spans="1:3" x14ac:dyDescent="0.2">
      <c r="A245" s="3">
        <v>46312</v>
      </c>
      <c r="B245" s="1">
        <v>712.82</v>
      </c>
      <c r="C245">
        <f>MATCH(B245, $D$1:$D$195, 0)-1</f>
        <v>126</v>
      </c>
    </row>
    <row r="246" spans="1:3" x14ac:dyDescent="0.2">
      <c r="A246" s="3">
        <v>46313</v>
      </c>
      <c r="B246" s="1">
        <v>708.97</v>
      </c>
      <c r="C246">
        <f>MATCH(B246, $D$1:$D$195, 0)-1</f>
        <v>119</v>
      </c>
    </row>
    <row r="247" spans="1:3" x14ac:dyDescent="0.2">
      <c r="A247" s="3">
        <v>46314</v>
      </c>
      <c r="B247" s="1">
        <v>712.82</v>
      </c>
      <c r="C247">
        <f>MATCH(B247, $D$1:$D$195, 0)-1</f>
        <v>126</v>
      </c>
    </row>
    <row r="248" spans="1:3" x14ac:dyDescent="0.2">
      <c r="A248" s="3">
        <v>46315</v>
      </c>
      <c r="B248" s="1">
        <v>719.74</v>
      </c>
      <c r="C248">
        <f>MATCH(B248, $D$1:$D$195, 0)-1</f>
        <v>140</v>
      </c>
    </row>
    <row r="249" spans="1:3" x14ac:dyDescent="0.2">
      <c r="A249" s="3">
        <v>46316</v>
      </c>
      <c r="B249" s="1">
        <v>720.51</v>
      </c>
      <c r="C249">
        <f>MATCH(B249, $D$1:$D$195, 0)-1</f>
        <v>142</v>
      </c>
    </row>
    <row r="250" spans="1:3" x14ac:dyDescent="0.2">
      <c r="A250" s="3">
        <v>46317</v>
      </c>
      <c r="B250" s="1">
        <v>717.44</v>
      </c>
      <c r="C250">
        <f>MATCH(B250, $D$1:$D$195, 0)-1</f>
        <v>137</v>
      </c>
    </row>
    <row r="251" spans="1:3" x14ac:dyDescent="0.2">
      <c r="A251" s="3">
        <v>46318</v>
      </c>
      <c r="B251" s="1">
        <v>713.59</v>
      </c>
      <c r="C251">
        <f>MATCH(B251, $D$1:$D$195, 0)-1</f>
        <v>128</v>
      </c>
    </row>
    <row r="252" spans="1:3" x14ac:dyDescent="0.2">
      <c r="A252" s="3">
        <v>46319</v>
      </c>
      <c r="B252" s="1">
        <v>702.08</v>
      </c>
      <c r="C252">
        <f>MATCH(B252, $D$1:$D$195, 0)-1</f>
        <v>107</v>
      </c>
    </row>
    <row r="253" spans="1:3" x14ac:dyDescent="0.2">
      <c r="A253" s="3">
        <v>46320</v>
      </c>
      <c r="B253" s="1">
        <v>695.16</v>
      </c>
      <c r="C253">
        <f>MATCH(B253, $D$1:$D$195, 0)-1</f>
        <v>95</v>
      </c>
    </row>
    <row r="254" spans="1:3" x14ac:dyDescent="0.2">
      <c r="A254" s="3">
        <v>46321</v>
      </c>
      <c r="B254" s="1">
        <v>702.08</v>
      </c>
      <c r="C254">
        <f>MATCH(B254, $D$1:$D$195, 0)-1</f>
        <v>107</v>
      </c>
    </row>
    <row r="255" spans="1:3" x14ac:dyDescent="0.2">
      <c r="A255" s="3">
        <v>46322</v>
      </c>
      <c r="B255" s="1">
        <v>713.59</v>
      </c>
      <c r="C255">
        <f>MATCH(B255, $D$1:$D$195, 0)-1</f>
        <v>128</v>
      </c>
    </row>
    <row r="256" spans="1:3" x14ac:dyDescent="0.2">
      <c r="A256" s="3">
        <v>46323</v>
      </c>
      <c r="B256" s="1">
        <v>716.65</v>
      </c>
      <c r="C256">
        <f>MATCH(B256, $D$1:$D$195, 0)-1</f>
        <v>135</v>
      </c>
    </row>
    <row r="257" spans="1:3" x14ac:dyDescent="0.2">
      <c r="A257" s="3">
        <v>46324</v>
      </c>
      <c r="B257" s="1">
        <v>720.51</v>
      </c>
      <c r="C257">
        <f>MATCH(B257, $D$1:$D$195, 0)-1</f>
        <v>142</v>
      </c>
    </row>
    <row r="258" spans="1:3" x14ac:dyDescent="0.2">
      <c r="A258" s="3">
        <v>46325</v>
      </c>
      <c r="B258" s="1">
        <v>716.65</v>
      </c>
      <c r="C258">
        <f>MATCH(B258, $D$1:$D$195, 0)-1</f>
        <v>135</v>
      </c>
    </row>
    <row r="259" spans="1:3" x14ac:dyDescent="0.2">
      <c r="A259" s="3">
        <v>46326</v>
      </c>
      <c r="B259" s="1">
        <v>705.91</v>
      </c>
      <c r="C259">
        <f>MATCH(B259, $D$1:$D$195, 0)-1</f>
        <v>114</v>
      </c>
    </row>
    <row r="260" spans="1:3" x14ac:dyDescent="0.2">
      <c r="A260" s="3">
        <v>46327</v>
      </c>
      <c r="B260" s="2">
        <v>697.46</v>
      </c>
      <c r="C260">
        <f>MATCH(B260, $D$1:$D$195, 0)-1</f>
        <v>98</v>
      </c>
    </row>
    <row r="261" spans="1:3" x14ac:dyDescent="0.2">
      <c r="A261" s="3">
        <v>46328</v>
      </c>
      <c r="B261" s="2">
        <v>701.29</v>
      </c>
      <c r="C261">
        <f>MATCH(B261, $D$1:$D$195, 0)-1</f>
        <v>106</v>
      </c>
    </row>
    <row r="262" spans="1:3" x14ac:dyDescent="0.2">
      <c r="A262" s="3">
        <v>46329</v>
      </c>
      <c r="B262" s="2">
        <v>711.27</v>
      </c>
      <c r="C262">
        <f>MATCH(B262, $D$1:$D$195, 0)-1</f>
        <v>123</v>
      </c>
    </row>
    <row r="263" spans="1:3" x14ac:dyDescent="0.2">
      <c r="A263" s="3">
        <v>46330</v>
      </c>
      <c r="B263" s="2">
        <v>723.57</v>
      </c>
      <c r="C263">
        <f>MATCH(B263, $D$1:$D$195, 0)-1</f>
        <v>146</v>
      </c>
    </row>
    <row r="264" spans="1:3" x14ac:dyDescent="0.2">
      <c r="A264" s="3">
        <v>46331</v>
      </c>
      <c r="B264" s="2">
        <v>724.33</v>
      </c>
      <c r="C264">
        <f>MATCH(B264, $D$1:$D$195, 0)-1</f>
        <v>148</v>
      </c>
    </row>
    <row r="265" spans="1:3" x14ac:dyDescent="0.2">
      <c r="A265" s="3">
        <v>46332</v>
      </c>
      <c r="B265" s="2">
        <v>719.74</v>
      </c>
      <c r="C265">
        <f>MATCH(B265, $D$1:$D$195, 0)-1</f>
        <v>140</v>
      </c>
    </row>
    <row r="266" spans="1:3" x14ac:dyDescent="0.2">
      <c r="A266" s="3">
        <v>46333</v>
      </c>
      <c r="B266" s="2">
        <v>715.89</v>
      </c>
      <c r="C266">
        <f>MATCH(B266, $D$1:$D$195, 0)-1</f>
        <v>133</v>
      </c>
    </row>
    <row r="267" spans="1:3" x14ac:dyDescent="0.2">
      <c r="A267" s="3">
        <v>46334</v>
      </c>
      <c r="B267" s="2">
        <v>706.67</v>
      </c>
      <c r="C267">
        <f>MATCH(B267, $D$1:$D$195, 0)-1</f>
        <v>115</v>
      </c>
    </row>
    <row r="268" spans="1:3" x14ac:dyDescent="0.2">
      <c r="A268" s="3">
        <v>46335</v>
      </c>
      <c r="B268" s="2">
        <v>702.08</v>
      </c>
      <c r="C268">
        <f>MATCH(B268, $D$1:$D$195, 0)-1</f>
        <v>107</v>
      </c>
    </row>
    <row r="269" spans="1:3" x14ac:dyDescent="0.2">
      <c r="A269" s="3">
        <v>46336</v>
      </c>
      <c r="B269" s="2">
        <v>715.12</v>
      </c>
      <c r="C269">
        <f>MATCH(B269, $D$1:$D$195, 0)-1</f>
        <v>131</v>
      </c>
    </row>
    <row r="270" spans="1:3" x14ac:dyDescent="0.2">
      <c r="A270" s="3">
        <v>46337</v>
      </c>
      <c r="B270" s="2">
        <v>727.42</v>
      </c>
      <c r="C270">
        <f>MATCH(B270, $D$1:$D$195, 0)-1</f>
        <v>154</v>
      </c>
    </row>
    <row r="271" spans="1:3" x14ac:dyDescent="0.2">
      <c r="A271" s="3">
        <v>46338</v>
      </c>
      <c r="B271" s="2">
        <v>733.56</v>
      </c>
      <c r="C271">
        <f>MATCH(B271, $D$1:$D$195, 0)-1</f>
        <v>161</v>
      </c>
    </row>
    <row r="272" spans="1:3" x14ac:dyDescent="0.2">
      <c r="A272" s="3">
        <v>46339</v>
      </c>
      <c r="B272" s="2">
        <v>739.7</v>
      </c>
      <c r="C272">
        <f>MATCH(B272, $D$1:$D$195, 0)-1</f>
        <v>166</v>
      </c>
    </row>
    <row r="273" spans="1:3" x14ac:dyDescent="0.2">
      <c r="A273" s="3">
        <v>46340</v>
      </c>
      <c r="B273" s="2">
        <v>743.54</v>
      </c>
      <c r="C273">
        <f>MATCH(B273, $D$1:$D$195, 0)-1</f>
        <v>169</v>
      </c>
    </row>
    <row r="274" spans="1:3" x14ac:dyDescent="0.2">
      <c r="A274" s="3">
        <v>46341</v>
      </c>
      <c r="B274" s="2">
        <v>740.48</v>
      </c>
      <c r="C274">
        <f>MATCH(B274, $D$1:$D$195, 0)-1</f>
        <v>167</v>
      </c>
    </row>
    <row r="275" spans="1:3" x14ac:dyDescent="0.2">
      <c r="A275" s="3">
        <v>46342</v>
      </c>
      <c r="B275" s="2">
        <v>740.48</v>
      </c>
      <c r="C275">
        <f>MATCH(B275, $D$1:$D$195, 0)-1</f>
        <v>167</v>
      </c>
    </row>
    <row r="276" spans="1:3" x14ac:dyDescent="0.2">
      <c r="A276" s="3">
        <v>46343</v>
      </c>
      <c r="B276" s="2">
        <v>744.32</v>
      </c>
      <c r="C276">
        <f>MATCH(B276, $D$1:$D$195, 0)-1</f>
        <v>170</v>
      </c>
    </row>
    <row r="277" spans="1:3" x14ac:dyDescent="0.2">
      <c r="A277" s="3">
        <v>46344</v>
      </c>
      <c r="B277" s="2">
        <v>745.07</v>
      </c>
      <c r="C277">
        <f>MATCH(B277, $D$1:$D$195, 0)-1</f>
        <v>171</v>
      </c>
    </row>
    <row r="278" spans="1:3" x14ac:dyDescent="0.2">
      <c r="A278" s="3">
        <v>46345</v>
      </c>
      <c r="B278" s="2">
        <v>749.68</v>
      </c>
      <c r="C278">
        <f>MATCH(B278, $D$1:$D$195, 0)-1</f>
        <v>173</v>
      </c>
    </row>
    <row r="279" spans="1:3" x14ac:dyDescent="0.2">
      <c r="A279" s="3">
        <v>46346</v>
      </c>
      <c r="B279" s="2">
        <v>758.44</v>
      </c>
      <c r="C279">
        <f>MATCH(B279, $D$1:$D$195, 0)-1</f>
        <v>175</v>
      </c>
    </row>
    <row r="280" spans="1:3" x14ac:dyDescent="0.2">
      <c r="A280" s="3">
        <v>46347</v>
      </c>
      <c r="B280" s="2">
        <v>758.44</v>
      </c>
      <c r="C280">
        <f>MATCH(B280, $D$1:$D$195, 0)-1</f>
        <v>175</v>
      </c>
    </row>
    <row r="281" spans="1:3" x14ac:dyDescent="0.2">
      <c r="A281" s="3">
        <v>46348</v>
      </c>
      <c r="B281" s="2">
        <v>758.44</v>
      </c>
      <c r="C281">
        <f>MATCH(B281, $D$1:$D$195, 0)-1</f>
        <v>175</v>
      </c>
    </row>
    <row r="282" spans="1:3" x14ac:dyDescent="0.2">
      <c r="A282" s="3">
        <v>46349</v>
      </c>
      <c r="B282" s="2">
        <v>762.34</v>
      </c>
      <c r="C282">
        <f>MATCH(B282, $D$1:$D$195, 0)-1</f>
        <v>177</v>
      </c>
    </row>
    <row r="283" spans="1:3" x14ac:dyDescent="0.2">
      <c r="A283" s="3">
        <v>46350</v>
      </c>
      <c r="B283" s="2">
        <v>762.34</v>
      </c>
      <c r="C283">
        <f>MATCH(B283, $D$1:$D$195, 0)-1</f>
        <v>177</v>
      </c>
    </row>
    <row r="284" spans="1:3" x14ac:dyDescent="0.2">
      <c r="A284" s="3">
        <v>46351</v>
      </c>
      <c r="B284" s="2">
        <v>766.2</v>
      </c>
      <c r="C284">
        <f>MATCH(B284, $D$1:$D$195, 0)-1</f>
        <v>178</v>
      </c>
    </row>
    <row r="285" spans="1:3" x14ac:dyDescent="0.2">
      <c r="A285" s="3">
        <v>46352</v>
      </c>
      <c r="B285" s="2">
        <v>762.34</v>
      </c>
      <c r="C285">
        <f>MATCH(B285, $D$1:$D$195, 0)-1</f>
        <v>177</v>
      </c>
    </row>
    <row r="286" spans="1:3" x14ac:dyDescent="0.2">
      <c r="A286" s="3">
        <v>46353</v>
      </c>
      <c r="B286" s="2">
        <v>745.07</v>
      </c>
      <c r="C286">
        <f>MATCH(B286, $D$1:$D$195, 0)-1</f>
        <v>171</v>
      </c>
    </row>
    <row r="287" spans="1:3" x14ac:dyDescent="0.2">
      <c r="A287" s="3">
        <v>46354</v>
      </c>
      <c r="B287" s="2">
        <v>737.4</v>
      </c>
      <c r="C287">
        <f>MATCH(B287, $D$1:$D$195, 0)-1</f>
        <v>164</v>
      </c>
    </row>
    <row r="288" spans="1:3" x14ac:dyDescent="0.2">
      <c r="A288" s="3">
        <v>46355</v>
      </c>
      <c r="B288" s="1">
        <v>728.18</v>
      </c>
      <c r="C288">
        <f>MATCH(B288, $D$1:$D$195, 0)-1</f>
        <v>156</v>
      </c>
    </row>
    <row r="289" spans="1:3" x14ac:dyDescent="0.2">
      <c r="A289" s="3">
        <v>46356</v>
      </c>
      <c r="B289" s="1">
        <v>724.33</v>
      </c>
      <c r="C289">
        <f>MATCH(B289, $D$1:$D$195, 0)-1</f>
        <v>148</v>
      </c>
    </row>
    <row r="290" spans="1:3" x14ac:dyDescent="0.2">
      <c r="A290" s="3">
        <v>46357</v>
      </c>
      <c r="B290" s="2">
        <v>730.48</v>
      </c>
      <c r="C290">
        <f>MATCH(B290, $D$1:$D$195, 0)-1</f>
        <v>158</v>
      </c>
    </row>
    <row r="291" spans="1:3" x14ac:dyDescent="0.2">
      <c r="A291" s="3">
        <v>46358</v>
      </c>
      <c r="B291" s="2">
        <v>731.26</v>
      </c>
      <c r="C291">
        <f>MATCH(B291, $D$1:$D$195, 0)-1</f>
        <v>159</v>
      </c>
    </row>
    <row r="292" spans="1:3" x14ac:dyDescent="0.2">
      <c r="A292" s="3">
        <v>46359</v>
      </c>
      <c r="B292" s="2">
        <v>731.26</v>
      </c>
      <c r="C292">
        <f>MATCH(B292, $D$1:$D$195, 0)-1</f>
        <v>159</v>
      </c>
    </row>
    <row r="293" spans="1:3" x14ac:dyDescent="0.2">
      <c r="A293" s="3">
        <v>46360</v>
      </c>
      <c r="B293" s="2">
        <v>731.26</v>
      </c>
      <c r="C293">
        <f>MATCH(B293, $D$1:$D$195, 0)-1</f>
        <v>159</v>
      </c>
    </row>
    <row r="294" spans="1:3" x14ac:dyDescent="0.2">
      <c r="A294" s="3">
        <v>46361</v>
      </c>
      <c r="B294" s="2">
        <v>727.42</v>
      </c>
      <c r="C294">
        <f>MATCH(B294, $D$1:$D$195, 0)-1</f>
        <v>154</v>
      </c>
    </row>
    <row r="295" spans="1:3" x14ac:dyDescent="0.2">
      <c r="A295" s="3">
        <v>46362</v>
      </c>
      <c r="B295" s="2">
        <v>720.51</v>
      </c>
      <c r="C295">
        <f>MATCH(B295, $D$1:$D$195, 0)-1</f>
        <v>142</v>
      </c>
    </row>
    <row r="296" spans="1:3" x14ac:dyDescent="0.2">
      <c r="A296" s="3">
        <v>46363</v>
      </c>
      <c r="B296" s="2">
        <v>720.51</v>
      </c>
      <c r="C296">
        <f>MATCH(B296, $D$1:$D$195, 0)-1</f>
        <v>142</v>
      </c>
    </row>
    <row r="297" spans="1:3" x14ac:dyDescent="0.2">
      <c r="A297" s="3">
        <v>46364</v>
      </c>
      <c r="B297" s="2">
        <v>726.64</v>
      </c>
      <c r="C297">
        <f>MATCH(B297, $D$1:$D$195, 0)-1</f>
        <v>152</v>
      </c>
    </row>
    <row r="298" spans="1:3" x14ac:dyDescent="0.2">
      <c r="A298" s="3">
        <v>46365</v>
      </c>
      <c r="B298" s="2">
        <v>731.26</v>
      </c>
      <c r="C298">
        <f>MATCH(B298, $D$1:$D$195, 0)-1</f>
        <v>159</v>
      </c>
    </row>
    <row r="299" spans="1:3" x14ac:dyDescent="0.2">
      <c r="A299" s="3">
        <v>46366</v>
      </c>
      <c r="B299" s="2">
        <v>735.1</v>
      </c>
      <c r="C299">
        <f>MATCH(B299, $D$1:$D$195, 0)-1</f>
        <v>162</v>
      </c>
    </row>
    <row r="300" spans="1:3" x14ac:dyDescent="0.2">
      <c r="A300" s="3">
        <v>46367</v>
      </c>
      <c r="B300" s="2">
        <v>738.93</v>
      </c>
      <c r="C300">
        <f>MATCH(B300, $D$1:$D$195, 0)-1</f>
        <v>165</v>
      </c>
    </row>
    <row r="301" spans="1:3" x14ac:dyDescent="0.2">
      <c r="A301" s="3">
        <v>46368</v>
      </c>
      <c r="B301" s="2">
        <v>742.78</v>
      </c>
      <c r="C301">
        <f>MATCH(B301, $D$1:$D$195, 0)-1</f>
        <v>168</v>
      </c>
    </row>
    <row r="302" spans="1:3" x14ac:dyDescent="0.2">
      <c r="A302" s="3">
        <v>46369</v>
      </c>
      <c r="B302" s="2">
        <v>739.7</v>
      </c>
      <c r="C302">
        <f>MATCH(B302, $D$1:$D$195, 0)-1</f>
        <v>166</v>
      </c>
    </row>
    <row r="303" spans="1:3" x14ac:dyDescent="0.2">
      <c r="A303" s="3">
        <v>46370</v>
      </c>
      <c r="B303" s="2">
        <v>739.7</v>
      </c>
      <c r="C303">
        <f>MATCH(B303, $D$1:$D$195, 0)-1</f>
        <v>166</v>
      </c>
    </row>
    <row r="304" spans="1:3" x14ac:dyDescent="0.2">
      <c r="A304" s="3">
        <v>46371</v>
      </c>
      <c r="B304" s="2">
        <v>744.32</v>
      </c>
      <c r="C304">
        <f>MATCH(B304, $D$1:$D$195, 0)-1</f>
        <v>170</v>
      </c>
    </row>
    <row r="305" spans="1:3" x14ac:dyDescent="0.2">
      <c r="A305" s="3">
        <v>46372</v>
      </c>
      <c r="B305" s="2">
        <v>748.92</v>
      </c>
      <c r="C305">
        <f>MATCH(B305, $D$1:$D$195, 0)-1</f>
        <v>172</v>
      </c>
    </row>
    <row r="306" spans="1:3" x14ac:dyDescent="0.2">
      <c r="A306" s="3">
        <v>46373</v>
      </c>
      <c r="B306" s="2">
        <v>752.76</v>
      </c>
      <c r="C306">
        <f>MATCH(B306, $D$1:$D$195, 0)-1</f>
        <v>174</v>
      </c>
    </row>
    <row r="307" spans="1:3" x14ac:dyDescent="0.2">
      <c r="A307" s="3">
        <v>46374</v>
      </c>
      <c r="B307" s="2">
        <v>766.2</v>
      </c>
      <c r="C307">
        <f>MATCH(B307, $D$1:$D$195, 0)-1</f>
        <v>178</v>
      </c>
    </row>
    <row r="308" spans="1:3" x14ac:dyDescent="0.2">
      <c r="A308" s="3">
        <v>46375</v>
      </c>
      <c r="B308" s="2">
        <v>770.86</v>
      </c>
      <c r="C308">
        <f>MATCH(B308, $D$1:$D$195, 0)-1</f>
        <v>180</v>
      </c>
    </row>
    <row r="309" spans="1:3" x14ac:dyDescent="0.2">
      <c r="A309" s="3">
        <v>46376</v>
      </c>
      <c r="B309" s="2">
        <v>770.86</v>
      </c>
      <c r="C309">
        <f>MATCH(B309, $D$1:$D$195, 0)-1</f>
        <v>180</v>
      </c>
    </row>
    <row r="310" spans="1:3" x14ac:dyDescent="0.2">
      <c r="A310" s="3">
        <v>46377</v>
      </c>
      <c r="B310" s="2">
        <v>771.63</v>
      </c>
      <c r="C310">
        <f>MATCH(B310, $D$1:$D$195, 0)-1</f>
        <v>181</v>
      </c>
    </row>
    <row r="311" spans="1:3" x14ac:dyDescent="0.2">
      <c r="A311" s="3">
        <v>46378</v>
      </c>
      <c r="B311" s="2">
        <v>772.41</v>
      </c>
      <c r="C311">
        <f>MATCH(B311, $D$1:$D$195, 0)-1</f>
        <v>182</v>
      </c>
    </row>
    <row r="312" spans="1:3" x14ac:dyDescent="0.2">
      <c r="A312" s="3">
        <v>46379</v>
      </c>
      <c r="B312" s="2">
        <v>772.41</v>
      </c>
      <c r="C312">
        <f>MATCH(B312, $D$1:$D$195, 0)-1</f>
        <v>182</v>
      </c>
    </row>
    <row r="313" spans="1:3" x14ac:dyDescent="0.2">
      <c r="A313" s="3">
        <v>46380</v>
      </c>
      <c r="B313" s="2">
        <v>772.41</v>
      </c>
      <c r="C313">
        <f>MATCH(B313, $D$1:$D$195, 0)-1</f>
        <v>182</v>
      </c>
    </row>
    <row r="314" spans="1:3" x14ac:dyDescent="0.2">
      <c r="A314" s="3">
        <v>46381</v>
      </c>
      <c r="B314" s="2">
        <v>772.41</v>
      </c>
      <c r="C314">
        <f>MATCH(B314, $D$1:$D$195, 0)-1</f>
        <v>182</v>
      </c>
    </row>
    <row r="315" spans="1:3" x14ac:dyDescent="0.2">
      <c r="A315" s="3">
        <v>46382</v>
      </c>
      <c r="B315" s="2">
        <v>772.41</v>
      </c>
      <c r="C315">
        <f>MATCH(B315, $D$1:$D$195, 0)-1</f>
        <v>182</v>
      </c>
    </row>
    <row r="316" spans="1:3" x14ac:dyDescent="0.2">
      <c r="A316" s="3">
        <v>46383</v>
      </c>
      <c r="B316" s="1">
        <v>774.74</v>
      </c>
      <c r="C316">
        <f>MATCH(B316, $D$1:$D$195, 0)-1</f>
        <v>184</v>
      </c>
    </row>
    <row r="317" spans="1:3" x14ac:dyDescent="0.2">
      <c r="A317" s="3">
        <v>46384</v>
      </c>
      <c r="B317" s="1">
        <v>774.74</v>
      </c>
      <c r="C317">
        <f>MATCH(B317, $D$1:$D$195, 0)-1</f>
        <v>184</v>
      </c>
    </row>
    <row r="318" spans="1:3" x14ac:dyDescent="0.2">
      <c r="A318" s="3">
        <v>46385</v>
      </c>
      <c r="B318" s="1">
        <v>773.96</v>
      </c>
      <c r="C318">
        <f>MATCH(B318, $D$1:$D$195, 0)-1</f>
        <v>183</v>
      </c>
    </row>
    <row r="319" spans="1:3" x14ac:dyDescent="0.2">
      <c r="A319" s="3">
        <v>46386</v>
      </c>
      <c r="B319" s="1">
        <v>769.3</v>
      </c>
      <c r="C319">
        <f>MATCH(B319, $D$1:$D$195, 0)-1</f>
        <v>179</v>
      </c>
    </row>
    <row r="320" spans="1:3" x14ac:dyDescent="0.2">
      <c r="A320" s="3">
        <v>46387</v>
      </c>
      <c r="B320" s="1">
        <v>760.77</v>
      </c>
      <c r="C320">
        <f>MATCH(B320, $D$1:$D$195, 0)-1</f>
        <v>176</v>
      </c>
    </row>
    <row r="321" spans="2:2" x14ac:dyDescent="0.2">
      <c r="B3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F2F04-8BD8-304C-84F8-3E3640D9B61F}">
  <dimension ref="A1:AZ321"/>
  <sheetViews>
    <sheetView tabSelected="1" zoomScale="75" workbookViewId="0">
      <selection activeCell="AC209" sqref="AC209"/>
    </sheetView>
  </sheetViews>
  <sheetFormatPr baseColWidth="10" defaultRowHeight="16" x14ac:dyDescent="0.2"/>
  <cols>
    <col min="1" max="1" width="13.33203125" customWidth="1"/>
    <col min="3" max="3" width="15" bestFit="1" customWidth="1"/>
    <col min="7" max="7" width="14.6640625" style="3" customWidth="1"/>
    <col min="8" max="8" width="12" style="3" customWidth="1"/>
    <col min="9" max="9" width="14.6640625" style="3" customWidth="1"/>
    <col min="10" max="10" width="14" style="3" customWidth="1"/>
    <col min="11" max="11" width="12.33203125" style="3" customWidth="1"/>
    <col min="12" max="12" width="13" style="3" customWidth="1"/>
    <col min="13" max="14" width="10.83203125" style="3"/>
  </cols>
  <sheetData>
    <row r="1" spans="1:52" x14ac:dyDescent="0.2">
      <c r="A1" t="s">
        <v>1</v>
      </c>
      <c r="B1" t="s">
        <v>0</v>
      </c>
      <c r="C1" t="s">
        <v>2</v>
      </c>
      <c r="E1" s="3"/>
      <c r="F1" t="s">
        <v>2</v>
      </c>
      <c r="G1" s="3" t="s">
        <v>3</v>
      </c>
    </row>
    <row r="2" spans="1:52" x14ac:dyDescent="0.2">
      <c r="A2" s="3">
        <v>46069</v>
      </c>
      <c r="C2">
        <f>MATCH(B2, $D$1:$D$213, 0)-1</f>
        <v>201</v>
      </c>
      <c r="D2" cm="1">
        <f t="array" ref="D2:D202">_xlfn._xlws.SORT(_xlfn.UNIQUE((B2:B391)))</f>
        <v>448.7</v>
      </c>
      <c r="E2" s="3"/>
      <c r="F2" cm="1">
        <f t="array" ref="F2:F203">_xlfn._xlws.SORT(_xlfn.UNIQUE(C2:C2000))</f>
        <v>1</v>
      </c>
      <c r="G2" s="3" cm="1">
        <f t="array" ref="G2">TRANSPOSE(_xlfn._xlws.FILTER($A$2:$A$2000, $C$2:$C$2000=F2))</f>
        <v>46252</v>
      </c>
      <c r="AA2" t="str" cm="1">
        <f t="array" ref="AA2">_xlfn.LET(_xlpm.dates, _xlfn._xlws.FILTER(G2:Z2, G2:Z2&lt;&gt;""),_xlpm.sorted,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"&amp;F2&amp;""": ["&amp;_xlpm.result&amp;"]")</f>
        <v>"Tier 1": [{"start": "2026-08-18", "end": "2026-08-18"}]</v>
      </c>
      <c r="AZ2" t="str">
        <f>"{" &amp; _xlfn.TEXTJOIN(",", TRUE, AA2:AA250) &amp; "}"</f>
        <v>{"Tier 1": [{"start": "2026-08-18", "end": "2026-08-18"}],"Tier 2": [{"start": "2026-09-08", "end": "2026-09-08"}],"Tier 3": [{"start": "2026-09-09", "end": "2026-09-09"}],"Tier 4": [{"start": "2026-08-19", "end": "2026-08-19"}],"Tier 5": [{"start": "2026-08-20", "end": "2026-08-20"},{"start": "1900-01-01", "end": "1900-01-01"}],"Tier 6": [{"start": "2026-09-14", "end": "2026-09-14"}],"Tier 7": [{"start": "2026-08-21", "end": "2026-08-21"}],"Tier 8": [{"start": "2026-08-24", "end": "2026-08-24"}],"Tier 9": [{"start": "2026-08-17", "end": "2026-08-17"},{"start": "2026-09-07", "end": "2026-09-07"}],"Tier 10": [{"start": "2026-09-15", "end": "2026-09-15"}],"Tier 11": [{"start": "2026-09-01", "end": "2026-09-01"}],"Tier 12": [{"start": "2026-09-13", "end": "2026-09-13"}],"Tier 13": [{"start": "2026-08-23", "end": "2026-08-23"}],"Tier 14": [{"start": "2026-08-22", "end": "2026-08-22"}],"Tier 15": [{"start": "2026-09-10", "end": "2026-09-10"}],"Tier 16": [{"start": "2026-09-12", "end": "2026-09-12"}],"Tier 17": [{"start": "2026-09-21", "end": "2026-09-21"}],"Tier 18": [{"start": "2026-08-25", "end": "2026-08-25"},{"start": "2026-09-16", "end": "2026-09-16"}],"Tier 19": [{"start": "2026-08-31", "end": "2026-08-31"}],"Tier 20": [{"start": "2026-09-02", "end": "2026-09-02"}],"Tier 21": [{"start": "2026-09-22", "end": "2026-09-22"}],"Tier 22": [{"start": "2026-09-20", "end": "2026-09-20"}],"Tier 23": [{"start": "2026-09-11", "end": "2026-09-11"}],"Tier 24": [{"start": "2026-09-06", "end": "2026-09-06"}],"Tier 25": [{"start": "2026-08-16", "end": "2026-08-16"}],"Tier 26": [{"start": "2026-08-30", "end": "2026-08-30"}],"Tier 27": [{"start": "2026-08-26", "end": "2026-08-26"}],"Tier 28": [{"start": "2026-09-23", "end": "2026-09-23"}],"Tier 29": [{"start": "2026-09-17", "end": "2026-09-17"}],"Tier 30": [{"start": "2026-08-27", "end": "2026-08-27"}],"Tier 31": [{"start": "2026-09-19", "end": "2026-09-19"}],"Tier 32": [{"start": "2026-09-03", "end": "2026-09-03"}],"Tier 33": [{"start": "2026-08-10", "end": "2026-08-10"}],"Tier 34": [{"start": "2026-09-18", "end": "2026-09-18"}],"Tier 35": [{"start": "2026-08-15", "end": "2026-08-15"}],"Tier 36": [{"start": "2026-08-11", "end": "2026-08-11"}],"Tier 37": [{"start": "2026-09-24", "end": "2026-09-24"}],"Tier 38": [{"start": "2026-08-29", "end": "2026-08-29"},{"start": "2026-09-05", "end": "2026-09-05"}],"Tier 39": [{"start": "2026-08-28", "end": "2026-08-28"}],"Tier 40": [{"start": "2026-08-09", "end": "2026-08-09"}],"Tier 41": [{"start": "2026-09-25", "end": "2026-09-25"}],"Tier 42": [{"start": "2026-09-26", "end": "2026-09-26"}],"Tier 43": [{"start": "2026-08-12", "end": "2026-08-12"}],"Tier 44": [{"start": "2026-09-04", "end": "2026-09-04"}],"Tier 45": [{"start": "2026-08-08", "end": "2026-08-08"}],"Tier 46": [{"start": "2026-08-04", "end": "2026-08-04"}],"Tier 47": [{"start": "2026-08-03", "end": "2026-08-03"}],"Tier 48": [{"start": "2026-08-13", "end": "2026-08-13"}],"Tier 49": [{"start": "2026-08-05", "end": "2026-08-05"}],"Tier 50": [{"start": "2026-08-14", "end": "2026-08-14"}],"Tier 51": [{"start": "2026-08-06", "end": "2026-08-06"},{"start": "2026-08-07", "end": "2026-08-07"}],"Tier 52": [{"start": "2026-08-02", "end": "2026-08-02"}],"Tier 53": [{"start": "2026-09-27", "end": "2026-09-27"}],"Tier 54": [{"start": "2026-07-27", "end": "2026-07-27"}],"Tier 55": [{"start": "2026-07-26", "end": "2026-07-26"}],"Tier 56": [{"start": "2026-07-28", "end": "2026-07-28"}],"Tier 57": [{"start": "2026-07-19", "end": "2026-07-19"},{"start": "2026-07-20", "end": "2026-07-20"}],"Tier 58": [{"start": "2026-08-01", "end": "2026-08-01"}],"Tier 59": [{"start": "2026-07-13", "end": "2026-07-13"}],"Tier 60": [{"start": "2026-07-18", "end": "2026-07-18"},{"start": "2026-07-25", "end": "2026-07-25"}],"Tier 61": [{"start": "2026-07-29", "end": "2026-07-29"}],"Tier 62": [{"start": "2026-07-21", "end": "2026-07-21"},{"start": "2026-07-31", "end": "2026-07-31"}],"Tier 63": [{"start": "2026-07-30", "end": "2026-07-30"}],"Tier 64": [{"start": "2026-07-14", "end": "2026-07-14"}],"Tier 65": [{"start": "2026-07-10", "end": "2026-07-10"},{"start": "2026-07-16", "end": "2026-07-16"},{"start": "2026-07-17", "end": "2026-07-17"},{"start": "2026-07-24", "end": "2026-07-24"}],"Tier 66": [{"start": "2026-09-28", "end": "2026-09-28"}],"Tier 67": [{"start": "2026-07-07", "end": "2026-07-07"},{"start": "2026-07-15", "end": "2026-07-15"}],"Tier 68": [{"start": "2026-07-12", "end": "2026-07-12"}],"Tier 69": [{"start": "2026-07-08", "end": "2026-07-08"},{"start": "2026-07-09", "end": "2026-07-09"},{"start": "2026-07-22", "end": "2026-07-22"},{"start": "2026-07-23", "end": "2026-07-23"}],"Tier 70": [{"start": "2026-07-06", "end": "2026-07-06"}],"Tier 71": [{"start": "2026-07-11", "end": "2026-07-11"}],"Tier 72": [{"start": "2026-07-05", "end": "2026-07-05"}],"Tier 73": [{"start": "2026-06-08", "end": "2026-06-08"},{"start": "2026-06-15", "end": "2026-06-15"}],"Tier 74": [{"start": "2026-06-09", "end": "2026-06-09"},{"start": "2026-06-14", "end": "2026-06-14"},{"start": "2026-06-16", "end": "2026-06-16"}],"Tier 75": [{"start": "2026-04-28", "end": "2026-04-28"}],"Tier 76": [{"start": "2026-05-03", "end": "2026-05-03"}],"Tier 77": [{"start": "2026-06-07", "end": "2026-06-07"}],"Tier 78": [{"start": "2026-06-01", "end": "2026-06-01"},{"start": "2026-06-02", "end": "2026-06-02"},{"start": "2026-06-03", "end": "2026-06-03"},{"start": "2026-06-06", "end": "2026-06-06"},{"start": "2026-06-21", "end": "2026-06-21"}],"Tier 79": [{"start": "2026-03-02", "end": "2026-03-02"},{"start": "2026-05-18", "end": "2026-05-18"}],"Tier 80": [{"start": "2026-05-31", "end": "2026-05-31"}],"Tier 81": [{"start": "2026-09-29", "end": "2026-09-29"}],"Tier 82": [{"start": "2026-03-03", "end": "2026-03-03"}],"Tier 83": [{"start": "2026-06-04", "end": "2026-06-04"},{"start": "2026-06-10", "end": "2026-06-10"},{"start": "2026-06-13", "end": "2026-06-13"},{"start": "2026-06-17", "end": "2026-06-17"},{"start": "2026-06-22", "end": "2026-06-22"}],"Tier 84": [{"start": "2026-04-27", "end": "2026-04-27"}],"Tier 85": [{"start": "2026-04-29", "end": "2026-04-29"}],"Tier 86": [{"start": "2026-05-04", "end": "2026-05-04"},{"start": "2026-05-05", "end": "2026-05-05"},{"start": "2026-05-17", "end": "2026-05-17"}],"Tier 87": [{"start": "2026-05-30", "end": "2026-05-30"}],"Tier 88": [{"start": "2026-06-05", "end": "2026-06-05"}],"Tier 89": [{"start": "2026-06-11", "end": "2026-06-11"},{"start": "2026-06-12", "end": "2026-06-12"},{"start": "2026-06-18", "end": "2026-06-18"},{"start": "2026-06-20", "end": "2026-06-20"}],"Tier 90": [{"start": "2026-03-01", "end": "2026-03-01"},{"start": "2026-05-11", "end": "2026-05-11"}],"Tier 91": [{"start": "2026-06-23", "end": "2026-06-23"}],"Tier 92": [{"start": "2026-07-04", "end": "2026-07-04"}],"Tier 93": [{"start": "2026-06-19", "end": "2026-06-19"}],"Tier 94": [{"start": "2026-05-06", "end": "2026-05-06"},{"start": "2026-05-12", "end": "2026-05-12"}],"Tier 95": [{"start": "2026-05-29", "end": "2026-05-29"}],"Tier 96": [{"start": "2026-05-16", "end": "2026-05-16"},{"start": "2026-06-29", "end": "2026-06-29"}],"Tier 97": [{"start": "2026-04-30", "end": "2026-04-30"}],"Tier 98": [{"start": "2026-04-26", "end": "2026-04-26"},{"start": "2026-05-19", "end": "2026-05-19"}],"Tier 99": [{"start": "2026-02-23", "end": "2026-02-23"}],"Tier 100": [{"start": "2026-03-04", "end": "2026-03-04"}],"Tier 101": [{"start": "2026-06-24", "end": "2026-06-24"}],"Tier 102": [{"start": "2026-06-30", "end": "2026-06-30"}],"Tier 103": [{"start": "2026-05-10", "end": "2026-05-10"}],"Tier 104": [{"start": "2026-07-01", "end": "2026-07-01"}],"Tier 105": [{"start": "2026-09-30", "end": "2026-09-30"}],"Tier 106": [{"start": "2026-05-02", "end": "2026-05-02"}],"Tier 107": [{"start": "2026-05-01", "end": "2026-05-01"}],"Tier 108": [{"start": "2026-05-13", "end": "2026-05-13"},{"start": "2026-06-28", "end": "2026-06-28"}],"Tier 109": [{"start": "2026-05-15", "end": "2026-05-15"}],"Tier 110": [{"start": "2026-02-24", "end": "2026-02-24"}],"Tier 111": [{"start": "2026-07-03", "end": "2026-07-03"}],"Tier 112": [{"start": "2026-03-24", "end": "2026-03-24"},{"start": "2026-07-02", "end": "2026-07-02"}],"Tier 113": [{"start": "2026-05-28", "end": "2026-05-28"}],"Tier 114": [{"start": "2026-10-26", "end": "2026-10-26"},{"start": "2026-11-02", "end": "2026-11-02"}],"Tier 115": [{"start": "2026-03-16", "end": "2026-03-16"},{"start": "2026-05-14", "end": "2026-05-14"},{"start": "2026-05-20", "end": "2026-05-20"}],"Tier 116": [{"start": "2026-02-22", "end": "2026-02-22"}],"Tier 117": [{"start": "2026-03-17", "end": "2026-03-17"},{"start": "2026-03-23", "end": "2026-03-23"},{"start": "2026-04-13", "end": "2026-04-13"}],"Tier 118": [{"start": "2026-11-01", "end": "2026-11-01"}],"Tier 119": [{"start": "2026-03-18", "end": "2026-03-18"},{"start": "2026-05-09", "end": "2026-05-09"}],"Tier 120": [{"start": "2026-02-28", "end": "2026-02-28"}],"Tier 121": [{"start": "2026-04-14", "end": "2026-04-14"}],"Tier 122": [{"start": "2026-04-25", "end": "2026-04-25"},{"start": "2026-06-27", "end": "2026-06-27"}],"Tier 123": [{"start": "2026-03-22", "end": "2026-03-22"},{"start": "2026-03-25", "end": "2026-03-25"},{"start": "2026-04-20", "end": "2026-04-20"},{"start": "2026-05-07", "end": "2026-05-07"}],"Tier 124": [{"start": "2026-10-05", "end": "2026-10-05"},{"start": "2026-11-03", "end": "2026-11-03"}],"Tier 125": [{"start": "2026-03-05", "end": "2026-03-05"},{"start": "2026-05-27", "end": "2026-05-27"}],"Tier 126": [{"start": "2026-10-01", "end": "2026-10-01"}],"Tier 127": [{"start": "2026-03-15", "end": "2026-03-15"},{"start": "2026-03-19", "end": "2026-03-19"},{"start": "2026-04-12", "end": "2026-04-12"},{"start": "2026-04-21", "end": "2026-04-21"}],"Tier 128": [{"start": "2026-02-25", "end": "2026-02-25"}],"Tier 129": [{"start": "2026-10-25", "end": "2026-10-25"}],"Tier 130": [{"start": "2026-06-26", "end": "2026-06-26"}],"Tier 131": [{"start": "2026-06-25", "end": "2026-06-25"}],"Tier 132": [{"start": "2026-03-21", "end": "2026-03-21"}],"Tier 133": [{"start": "2026-04-15", "end": "2026-04-15"},{"start": "2026-04-22", "end": "2026-04-22"},{"start": "2026-05-26", "end": "2026-05-26"}],"Tier 134": [{"start": "2026-10-27", "end": "2026-10-27"}],"Tier 135": [{"start": "2026-05-25", "end": "2026-05-25"}],"Tier 136": [{"start": "2026-11-09", "end": "2026-11-09"}],"Tier 137": [{"start": "2026-03-26", "end": "2026-03-26"},{"start": "2026-04-19", "end": "2026-04-19"},{"start": "2026-05-21", "end": "2026-05-21"}],"Tier 138": [{"start": "2026-02-21", "end": "2026-02-21"}],"Tier 139": [{"start": "2026-10-03", "end": "2026-10-03"}],"Tier 140": [{"start": "2026-03-20", "end": "2026-03-20"}],"Tier 141": [{"start": "2026-10-02", "end": "2026-10-02"}],"Tier 142": [{"start": "2026-03-09", "end": "2026-03-09"},{"start": "2026-03-30", "end": "2026-03-30"},{"start": "2026-04-06", "end": "2026-04-06"},{"start": "2026-05-08", "end": "2026-05-08"}],"Tier 143": [{"start": "2026-04-11", "end": "2026-04-11"},{"start": "2026-05-24", "end": "2026-05-24"}],"Tier 144": [{"start": "2026-02-26", "end": "2026-02-26"}],"Tier 145": [{"start": "2026-03-14", "end": "2026-03-14"}],"Tier 146": [{"start": "2026-10-04", "end": "2026-10-04"},{"start": "2026-10-31", "end": "2026-10-31"}],"Tier 147": [{"start": "2026-03-08", "end": "2026-03-08"},{"start": "2026-03-10", "end": "2026-03-10"},{"start": "2026-03-27", "end": "2026-03-27"},{"start": "2026-03-29", "end": "2026-03-29"},{"start": "2026-03-31", "end": "2026-03-31"},{"start": "2026-04-05", "end": "2026-04-05"},{"start": "2026-04-07", "end": "2026-04-07"},{"start": "2026-04-24", "end": "2026-04-24"}],"Tier 148": [{"start": "2026-03-06", "end": "2026-03-06"},{"start": "2026-04-16", "end": "2026-04-16"},{"start": "2026-04-23", "end": "2026-04-23"}],"Tier 149": [{"start": "2026-05-23", "end": "2026-05-23"}],"Tier 150": [{"start": "2026-03-07", "end": "2026-03-07"},{"start": "2026-03-11", "end": "2026-03-11"},{"start": "2026-03-28", "end": "2026-03-28"},{"start": "2026-04-01", "end": "2026-04-01"},{"start": "2026-04-04", "end": "2026-04-04"},{"start": "2026-04-08", "end": "2026-04-08"},{"start": "2026-04-18", "end": "2026-04-18"}],"Tier 151": [{"start": "2026-02-27", "end": "2026-02-27"}],"Tier 152": [{"start": "2026-10-19", "end": "2026-10-19"},{"start": "2026-11-10", "end": "2026-11-10"}],"Tier 153": [{"start": "2026-03-13", "end": "2026-03-13"}],"Tier 154": [{"start": "2026-10-18", "end": "2026-10-18"},{"start": "2026-10-24", "end": "2026-10-24"},{"start": "2026-11-08", "end": "2026-11-08"}],"Tier 155": [{"start": "2026-10-28", "end": "2026-10-28"}],"Tier 156": [{"start": "2026-03-12", "end": "2026-03-12"},{"start": "2026-04-02", "end": "2026-04-02"},{"start": "2026-04-03", "end": "2026-04-03"},{"start": "2026-04-09", "end": "2026-04-09"},{"start": "2026-04-10", "end": "2026-04-10"},{"start": "2026-04-17", "end": "2026-04-17"},{"start": "2026-05-22", "end": "2026-05-22"}],"Tier 157": [{"start": "2026-11-04", "end": "2026-11-04"}],"Tier 158": [{"start": "2026-02-17", "end": "2026-02-17"}],"Tier 159": [{"start": "2026-02-20", "end": "2026-02-20"}],"Tier 160": [{"start": "2026-10-06", "end": "2026-10-06"}],"Tier 161": [{"start": "2026-02-18", "end": "2026-02-18"}],"Tier 162": [{"start": "2026-02-19", "end": "2026-02-19"}],"Tier 163": [{"start": "2026-10-29", "end": "2026-10-29"},{"start": "2026-10-30", "end": "2026-10-30"}],"Tier 164": [{"start": "2026-10-17", "end": "2026-10-17"},{"start": "2026-10-20", "end": "2026-10-20"}],"Tier 165": [{"start": "2026-11-07", "end": "2026-11-07"}],"Tier 166": [{"start": "2026-10-23", "end": "2026-10-23"}],"Tier 167": [{"start": "2026-11-30", "end": "2026-11-30"},{"start": "2026-12-07", "end": "2026-12-07"},{"start": "2026-12-08", "end": "2026-12-08"}],"Tier 168": [{"start": "2026-12-06", "end": "2026-12-06"}],"Tier 169": [{"start": "2026-10-07", "end": "2026-10-07"}],"Tier 170": [{"start": "2026-10-12", "end": "2026-10-12"}],"Tier 171": [{"start": "2026-11-05", "end": "2026-11-05"}],"Tier 172": [{"start": "2026-11-11", "end": "2026-11-11"}],"Tier 173": [{"start": "2026-10-13", "end": "2026-10-13"},{"start": "2026-10-21", "end": "2026-10-21"},{"start": "2026-10-22", "end": "2026-10-22"},{"start": "2026-12-01", "end": "2026-12-01"}],"Tier 174": [{"start": "2026-10-16", "end": "2026-10-16"}],"Tier 175": [{"start": "2026-10-08", "end": "2026-10-08"}],"Tier 176": [{"start": "2026-12-05", "end": "2026-12-05"},{"start": "2026-12-09", "end": "2026-12-09"}],"Tier 177": [{"start": "2026-10-11", "end": "2026-10-11"},{"start": "2026-10-14", "end": "2026-10-14"},{"start": "2026-10-15", "end": "2026-10-15"},{"start": "2026-11-06", "end": "2026-11-06"}],"Tier 178": [{"start": "2026-11-12", "end": "2026-11-12"},{"start": "2026-11-29", "end": "2026-11-29"}],"Tier 179": [{"start": "2026-12-02", "end": "2026-12-02"},{"start": "2026-12-03", "end": "2026-12-03"},{"start": "2026-12-10", "end": "2026-12-10"}],"Tier 180": [{"start": "2026-12-04", "end": "2026-12-04"}],"Tier 181": [{"start": "2026-10-10", "end": "2026-10-10"}],"Tier 182": [{"start": "2026-11-17", "end": "2026-11-17"},{"start": "2026-12-11", "end": "2026-12-11"},{"start": "2026-12-14", "end": "2026-12-14"},{"start": "2026-12-15", "end": "2026-12-15"}],"Tier 183": [{"start": "2026-11-13", "end": "2026-11-13"},{"start": "2026-11-16", "end": "2026-11-16"},{"start": "2026-12-13", "end": "2026-12-13"}],"Tier 184": [{"start": "2026-10-09", "end": "2026-10-09"},{"start": "2026-11-15", "end": "2026-11-15"},{"start": "2026-11-28", "end": "2026-11-28"}],"Tier 185": [{"start": "2026-12-12", "end": "2026-12-12"}],"Tier 186": [{"start": "2026-11-14", "end": "2026-11-14"}],"Tier 187": [{"start": "2026-11-18", "end": "2026-11-18"},{"start": "2026-11-19", "end": "2026-11-19"},{"start": "2026-12-16", "end": "2026-12-16"}],"Tier 188": [{"start": "2026-12-17", "end": "2026-12-17"}],"Tier 189": [{"start": "2026-11-27", "end": "2026-11-27"}],"Tier 190": [{"start": "2026-11-22", "end": "2026-11-22"}],"Tier 191": [{"start": "2026-11-24", "end": "2026-11-24"}],"Tier 192": [{"start": "2026-11-20", "end": "2026-11-20"},{"start": "2026-11-21", "end": "2026-11-21"},{"start": "2026-11-23", "end": "2026-11-23"}],"Tier 193": [{"start": "2026-12-18", "end": "2026-12-18"}],"Tier 194": [{"start": "2026-11-25", "end": "2026-11-25"}],"Tier 195": [{"start": "2026-12-31", "end": "2026-12-31"}],"Tier 196": [{"start": "2026-11-26", "end": "2026-11-26"},{"start": "2026-12-19", "end": "2026-12-19"},{"start": "2026-12-20", "end": "2026-12-20"}],"Tier 197": [{"start": "2026-12-21", "end": "2026-12-21"}],"Tier 198": [{"start": "2026-12-22", "end": "2026-12-22"},{"start": "2026-12-23", "end": "2026-12-23"},{"start": "2026-12-24", "end": "2026-12-24"},{"start": "2026-12-25", "end": "2026-12-25"},{"start": "2026-12-26", "end": "2026-12-26"},{"start": "2026-12-27", "end": "2026-12-27"}],"Tier 199": [{"start": "2026-12-30", "end": "2026-12-30"}],"Tier 200": [{"start": "2026-12-28", "end": "2026-12-28"},{"start": "2026-12-29", "end": "2026-12-29"}],"Tier 201": [{"start": "2026-02-16", "end": "2026-02-16"}]}</v>
      </c>
    </row>
    <row r="3" spans="1:52" x14ac:dyDescent="0.2">
      <c r="A3" s="3">
        <v>46070</v>
      </c>
      <c r="B3" s="1">
        <v>611.95000000000005</v>
      </c>
      <c r="C3">
        <f t="shared" ref="C3:C66" si="0">MATCH(B3, $D$1:$D$213, 0)-1</f>
        <v>158</v>
      </c>
      <c r="D3">
        <v>451.05</v>
      </c>
      <c r="E3" s="3"/>
      <c r="F3">
        <v>2</v>
      </c>
      <c r="G3" s="3" cm="1">
        <f t="array" ref="G3">TRANSPOSE(_xlfn._xlws.FILTER($A$2:$A$2000, $C$2:$C$2000=F3))</f>
        <v>46273</v>
      </c>
      <c r="AA3" t="str" cm="1">
        <f t="array" ref="AA3">_xlfn.LET(_xlpm.dates, _xlfn._xlws.FILTER(G3:Z3, G3:Z3&lt;&gt;""),_xlpm.sorted,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"&amp;F3&amp;""": ["&amp;_xlpm.result&amp;"]")</f>
        <v>"Tier 2": [{"start": "2026-09-08", "end": "2026-09-08"}]</v>
      </c>
    </row>
    <row r="4" spans="1:52" x14ac:dyDescent="0.2">
      <c r="A4" s="3">
        <v>46071</v>
      </c>
      <c r="B4" s="1">
        <v>613.9</v>
      </c>
      <c r="C4">
        <f t="shared" si="0"/>
        <v>161</v>
      </c>
      <c r="D4">
        <v>456.79</v>
      </c>
      <c r="E4" s="3"/>
      <c r="F4">
        <v>3</v>
      </c>
      <c r="G4" s="3" cm="1">
        <f t="array" ref="G4">TRANSPOSE(_xlfn._xlws.FILTER($A$2:$A$2000, $C$2:$C$2000=F4))</f>
        <v>46274</v>
      </c>
      <c r="AA4" t="str" cm="1">
        <f t="array" ref="AA4">_xlfn.LET(_xlpm.dates, _xlfn._xlws.FILTER(G4:Z4, G4:Z4&lt;&gt;""),_xlpm.sorted,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"&amp;F4&amp;""": ["&amp;_xlpm.result&amp;"]")</f>
        <v>"Tier 3": [{"start": "2026-09-09", "end": "2026-09-09"}]</v>
      </c>
    </row>
    <row r="5" spans="1:52" x14ac:dyDescent="0.2">
      <c r="A5" s="3">
        <v>46072</v>
      </c>
      <c r="B5" s="1">
        <v>615.86</v>
      </c>
      <c r="C5">
        <f t="shared" si="0"/>
        <v>162</v>
      </c>
      <c r="D5">
        <v>458.07</v>
      </c>
      <c r="E5" s="3"/>
      <c r="F5">
        <v>4</v>
      </c>
      <c r="G5" s="3" cm="1">
        <f t="array" ref="G5">TRANSPOSE(_xlfn._xlws.FILTER($A$2:$A$2000, $C$2:$C$2000=F5))</f>
        <v>46253</v>
      </c>
      <c r="AA5" t="str" cm="1">
        <f t="array" ref="AA5">_xlfn.LET(_xlpm.dates, _xlfn._xlws.FILTER(G5:Z5, G5:Z5&lt;&gt;""),_xlpm.sorted,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"&amp;F5&amp;""": ["&amp;_xlpm.result&amp;"]")</f>
        <v>"Tier 4": [{"start": "2026-08-19", "end": "2026-08-19"}]</v>
      </c>
    </row>
    <row r="6" spans="1:52" x14ac:dyDescent="0.2">
      <c r="A6" s="3">
        <v>46073</v>
      </c>
      <c r="B6" s="1">
        <v>612.59</v>
      </c>
      <c r="C6">
        <f t="shared" si="0"/>
        <v>159</v>
      </c>
      <c r="D6">
        <v>461.24</v>
      </c>
      <c r="E6" s="3"/>
      <c r="F6">
        <v>5</v>
      </c>
      <c r="G6" s="3" cm="1">
        <f t="array" ref="G6">TRANSPOSE(_xlfn._xlws.FILTER($A$2:$A$2000, $C$2:$C$2000=F6))</f>
        <v>46254</v>
      </c>
      <c r="Q6">
        <f>A3-A2</f>
        <v>1</v>
      </c>
      <c r="AA6" t="str" cm="1">
        <f t="array" ref="AA6">_xlfn.LET(_xlpm.dates, _xlfn._xlws.FILTER(G6:Z6, G6:Z6&lt;&gt;""),_xlpm.sorted,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"&amp;F6&amp;""": ["&amp;_xlpm.result&amp;"]")</f>
        <v>"Tier 5": [{"start": "2026-08-20", "end": "2026-08-20"},{"start": "1900-01-01", "end": "1900-01-01"}]</v>
      </c>
    </row>
    <row r="7" spans="1:52" x14ac:dyDescent="0.2">
      <c r="A7" s="3">
        <v>46074</v>
      </c>
      <c r="B7" s="1">
        <v>604.09</v>
      </c>
      <c r="C7">
        <f t="shared" si="0"/>
        <v>138</v>
      </c>
      <c r="D7">
        <v>462.02</v>
      </c>
      <c r="E7" s="3"/>
      <c r="F7">
        <v>6</v>
      </c>
      <c r="G7" s="3" cm="1">
        <f t="array" ref="G7">TRANSPOSE(_xlfn._xlws.FILTER($A$2:$A$2000, $C$2:$C$2000=F7))</f>
        <v>46279</v>
      </c>
      <c r="AA7" t="str" cm="1">
        <f t="array" ref="AA7">_xlfn.LET(_xlpm.dates, _xlfn._xlws.FILTER(G7:Z7, G7:Z7&lt;&gt;""),_xlpm.sorted,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"&amp;F7&amp;""": ["&amp;_xlpm.result&amp;"]")</f>
        <v>"Tier 6": [{"start": "2026-09-14", "end": "2026-09-14"}]</v>
      </c>
    </row>
    <row r="8" spans="1:52" x14ac:dyDescent="0.2">
      <c r="A8" s="3">
        <v>46075</v>
      </c>
      <c r="B8" s="1">
        <v>595.59</v>
      </c>
      <c r="C8">
        <f t="shared" si="0"/>
        <v>116</v>
      </c>
      <c r="D8">
        <v>462.51</v>
      </c>
      <c r="E8" s="3"/>
      <c r="F8">
        <v>7</v>
      </c>
      <c r="G8" s="3" cm="1">
        <f t="array" ref="G8">TRANSPOSE(_xlfn._xlws.FILTER($A$2:$A$2000, $C$2:$C$2000=F8))</f>
        <v>46255</v>
      </c>
      <c r="AA8" t="str" cm="1">
        <f t="array" ref="AA8">_xlfn.LET(_xlpm.dates, _xlfn._xlws.FILTER(G8:Z8, G8:Z8&lt;&gt;""),_xlpm.sorted,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"&amp;F8&amp;""": ["&amp;_xlpm.result&amp;"]")</f>
        <v>"Tier 7": [{"start": "2026-08-21", "end": "2026-08-21"}]</v>
      </c>
    </row>
    <row r="9" spans="1:52" x14ac:dyDescent="0.2">
      <c r="A9" s="3">
        <v>46076</v>
      </c>
      <c r="B9" s="1">
        <v>587.1</v>
      </c>
      <c r="C9">
        <f t="shared" si="0"/>
        <v>99</v>
      </c>
      <c r="D9">
        <v>466.98</v>
      </c>
      <c r="E9" s="3"/>
      <c r="F9">
        <v>8</v>
      </c>
      <c r="G9" s="3" cm="1">
        <f t="array" ref="G9">TRANSPOSE(_xlfn._xlws.FILTER($A$2:$A$2000, $C$2:$C$2000=F9))</f>
        <v>46258</v>
      </c>
      <c r="AA9" t="str" cm="1">
        <f t="array" ref="AA9">_xlfn.LET(_xlpm.dates, _xlfn._xlws.FILTER(G9:Z9, G9:Z9&lt;&gt;""),_xlpm.sorted,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"&amp;F9&amp;""": ["&amp;_xlpm.result&amp;"]")</f>
        <v>"Tier 8": [{"start": "2026-08-24", "end": "2026-08-24"}]</v>
      </c>
    </row>
    <row r="10" spans="1:52" x14ac:dyDescent="0.2">
      <c r="A10" s="3">
        <v>46077</v>
      </c>
      <c r="B10" s="1">
        <v>592.33000000000004</v>
      </c>
      <c r="C10">
        <f t="shared" si="0"/>
        <v>110</v>
      </c>
      <c r="D10">
        <v>467.02</v>
      </c>
      <c r="E10" s="3"/>
      <c r="F10">
        <v>9</v>
      </c>
      <c r="G10" s="3" cm="1">
        <f t="array" ref="G10:H10">TRANSPOSE(_xlfn._xlws.FILTER($A$2:$A$2000, $C$2:$C$2000=F10))</f>
        <v>46251</v>
      </c>
      <c r="H10" s="3">
        <v>46272</v>
      </c>
      <c r="AA10" t="str" cm="1">
        <f t="array" ref="AA10">_xlfn.LET(_xlpm.dates, _xlfn._xlws.FILTER(G10:Z10, G10:Z10&lt;&gt;""),_xlpm.sorted,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"&amp;F10&amp;""": ["&amp;_xlpm.result&amp;"]")</f>
        <v>"Tier 9": [{"start": "2026-08-17", "end": "2026-08-17"},{"start": "2026-09-07", "end": "2026-09-07"}]</v>
      </c>
    </row>
    <row r="11" spans="1:52" x14ac:dyDescent="0.2">
      <c r="A11" s="3">
        <v>46078</v>
      </c>
      <c r="B11" s="1">
        <v>600.82000000000005</v>
      </c>
      <c r="C11">
        <f t="shared" si="0"/>
        <v>128</v>
      </c>
      <c r="D11">
        <v>467.62</v>
      </c>
      <c r="E11" s="3"/>
      <c r="F11">
        <v>10</v>
      </c>
      <c r="G11" s="3" cm="1">
        <f t="array" ref="G11">TRANSPOSE(_xlfn._xlws.FILTER($A$2:$A$2000, $C$2:$C$2000=F11))</f>
        <v>46280</v>
      </c>
      <c r="AA11" t="str" cm="1">
        <f t="array" ref="AA11">_xlfn.LET(_xlpm.dates, _xlfn._xlws.FILTER(G11:Z11, G11:Z11&lt;&gt;""),_xlpm.sorted,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"&amp;F11&amp;""": ["&amp;_xlpm.result&amp;"]")</f>
        <v>"Tier 10": [{"start": "2026-09-15", "end": "2026-09-15"}]</v>
      </c>
    </row>
    <row r="12" spans="1:52" x14ac:dyDescent="0.2">
      <c r="A12" s="3">
        <v>46079</v>
      </c>
      <c r="B12" s="1">
        <v>606.04999999999995</v>
      </c>
      <c r="C12">
        <f t="shared" si="0"/>
        <v>144</v>
      </c>
      <c r="D12">
        <v>469.52</v>
      </c>
      <c r="E12" s="3"/>
      <c r="F12">
        <v>11</v>
      </c>
      <c r="G12" s="3" cm="1">
        <f t="array" ref="G12">TRANSPOSE(_xlfn._xlws.FILTER($A$2:$A$2000, $C$2:$C$2000=F12))</f>
        <v>46266</v>
      </c>
      <c r="AA12" t="str" cm="1">
        <f t="array" ref="AA12">_xlfn.LET(_xlpm.dates, _xlfn._xlws.FILTER(G12:Z12, G12:Z12&lt;&gt;""),_xlpm.sorted,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"&amp;F12&amp;""": ["&amp;_xlpm.result&amp;"]")</f>
        <v>"Tier 11": [{"start": "2026-09-01", "end": "2026-09-01"}]</v>
      </c>
    </row>
    <row r="13" spans="1:52" x14ac:dyDescent="0.2">
      <c r="A13" s="3">
        <v>46080</v>
      </c>
      <c r="B13" s="1">
        <v>609.32000000000005</v>
      </c>
      <c r="C13">
        <f t="shared" si="0"/>
        <v>151</v>
      </c>
      <c r="D13">
        <v>469.59</v>
      </c>
      <c r="E13" s="3"/>
      <c r="F13">
        <v>12</v>
      </c>
      <c r="G13" s="3" cm="1">
        <f t="array" ref="G13">TRANSPOSE(_xlfn._xlws.FILTER($A$2:$A$2000, $C$2:$C$2000=F13))</f>
        <v>46278</v>
      </c>
      <c r="AA13" t="str" cm="1">
        <f t="array" ref="AA13">_xlfn.LET(_xlpm.dates, _xlfn._xlws.FILTER(G13:Z13, G13:Z13&lt;&gt;""),_xlpm.sorted,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"&amp;F13&amp;""": ["&amp;_xlpm.result&amp;"]")</f>
        <v>"Tier 12": [{"start": "2026-09-13", "end": "2026-09-13"}]</v>
      </c>
    </row>
    <row r="14" spans="1:52" x14ac:dyDescent="0.2">
      <c r="A14" s="3">
        <v>46081</v>
      </c>
      <c r="B14" s="1">
        <v>597.55999999999995</v>
      </c>
      <c r="C14">
        <f t="shared" si="0"/>
        <v>120</v>
      </c>
      <c r="D14">
        <v>470.23</v>
      </c>
      <c r="E14" s="3"/>
      <c r="F14">
        <v>13</v>
      </c>
      <c r="G14" s="3" cm="1">
        <f t="array" ref="G14">TRANSPOSE(_xlfn._xlws.FILTER($A$2:$A$2000, $C$2:$C$2000=F14))</f>
        <v>46257</v>
      </c>
      <c r="AA14" t="str" cm="1">
        <f t="array" ref="AA14">_xlfn.LET(_xlpm.dates, _xlfn._xlws.FILTER(G14:Z14, G14:Z14&lt;&gt;""),_xlpm.sorted,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"&amp;F14&amp;""": ["&amp;_xlpm.result&amp;"]")</f>
        <v>"Tier 13": [{"start": "2026-08-23", "end": "2026-08-23"}]</v>
      </c>
    </row>
    <row r="15" spans="1:52" x14ac:dyDescent="0.2">
      <c r="A15" s="3">
        <v>46082</v>
      </c>
      <c r="B15" s="2">
        <v>580.09</v>
      </c>
      <c r="C15">
        <f t="shared" si="0"/>
        <v>90</v>
      </c>
      <c r="D15">
        <v>471.51</v>
      </c>
      <c r="F15">
        <v>14</v>
      </c>
      <c r="G15" s="3" cm="1">
        <f t="array" ref="G15">TRANSPOSE(_xlfn._xlws.FILTER($A$2:$A$2000, $C$2:$C$2000=F15))</f>
        <v>46256</v>
      </c>
      <c r="AA15" t="str" cm="1">
        <f t="array" ref="AA15">_xlfn.LET(_xlpm.dates, _xlfn._xlws.FILTER(G15:Z15, G15:Z15&lt;&gt;""),_xlpm.sorted,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"&amp;F15&amp;""": ["&amp;_xlpm.result&amp;"]")</f>
        <v>"Tier 14": [{"start": "2026-08-22", "end": "2026-08-22"}]</v>
      </c>
    </row>
    <row r="16" spans="1:52" x14ac:dyDescent="0.2">
      <c r="A16" s="3">
        <v>46083</v>
      </c>
      <c r="B16" s="2">
        <v>573.61</v>
      </c>
      <c r="C16">
        <f t="shared" si="0"/>
        <v>79</v>
      </c>
      <c r="D16">
        <v>472.52</v>
      </c>
      <c r="F16">
        <v>15</v>
      </c>
      <c r="G16" s="3" cm="1">
        <f t="array" ref="G16">TRANSPOSE(_xlfn._xlws.FILTER($A$2:$A$2000, $C$2:$C$2000=F16))</f>
        <v>46275</v>
      </c>
      <c r="AA16" t="str" cm="1">
        <f t="array" ref="AA16">_xlfn.LET(_xlpm.dates, _xlfn._xlws.FILTER(G16:Z16, G16:Z16&lt;&gt;""),_xlpm.sorted,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"&amp;F16&amp;""": ["&amp;_xlpm.result&amp;"]")</f>
        <v>"Tier 15": [{"start": "2026-09-10", "end": "2026-09-10"}]</v>
      </c>
    </row>
    <row r="17" spans="1:27" x14ac:dyDescent="0.2">
      <c r="A17" s="3">
        <v>46084</v>
      </c>
      <c r="B17" s="2">
        <v>575.54999999999995</v>
      </c>
      <c r="C17">
        <f t="shared" si="0"/>
        <v>82</v>
      </c>
      <c r="D17">
        <v>472.8</v>
      </c>
      <c r="F17">
        <v>16</v>
      </c>
      <c r="G17" s="3" cm="1">
        <f t="array" ref="G17">TRANSPOSE(_xlfn._xlws.FILTER($A$2:$A$2000, $C$2:$C$2000=F17))</f>
        <v>46277</v>
      </c>
      <c r="AA17" t="str" cm="1">
        <f t="array" ref="AA17">_xlfn.LET(_xlpm.dates, _xlfn._xlws.FILTER(G17:Z17, G17:Z17&lt;&gt;""),_xlpm.sorted,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"&amp;F17&amp;""": ["&amp;_xlpm.result&amp;"]")</f>
        <v>"Tier 16": [{"start": "2026-09-12", "end": "2026-09-12"}]</v>
      </c>
    </row>
    <row r="18" spans="1:27" x14ac:dyDescent="0.2">
      <c r="A18" s="3">
        <v>46085</v>
      </c>
      <c r="B18" s="2">
        <v>587.20000000000005</v>
      </c>
      <c r="C18">
        <f t="shared" si="0"/>
        <v>100</v>
      </c>
      <c r="D18">
        <v>476.65</v>
      </c>
      <c r="F18">
        <v>17</v>
      </c>
      <c r="G18" s="3" cm="1">
        <f t="array" ref="G18">TRANSPOSE(_xlfn._xlws.FILTER($A$2:$A$2000, $C$2:$C$2000=F18))</f>
        <v>46286</v>
      </c>
      <c r="AA18" t="str" cm="1">
        <f t="array" ref="AA18">_xlfn.LET(_xlpm.dates, _xlfn._xlws.FILTER(G18:Z18, G18:Z18&lt;&gt;""),_xlpm.sorted,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"&amp;F18&amp;""": ["&amp;_xlpm.result&amp;"]")</f>
        <v>"Tier 17": [{"start": "2026-09-21", "end": "2026-09-21"}]</v>
      </c>
    </row>
    <row r="19" spans="1:27" x14ac:dyDescent="0.2">
      <c r="A19" s="3">
        <v>46086</v>
      </c>
      <c r="B19" s="2">
        <v>600.16</v>
      </c>
      <c r="C19">
        <f t="shared" si="0"/>
        <v>125</v>
      </c>
      <c r="D19">
        <v>477.16</v>
      </c>
      <c r="F19">
        <v>18</v>
      </c>
      <c r="G19" s="3" cm="1">
        <f t="array" ref="G19:H19">TRANSPOSE(_xlfn._xlws.FILTER($A$2:$A$2000, $C$2:$C$2000=F19))</f>
        <v>46259</v>
      </c>
      <c r="H19" s="3">
        <v>46281</v>
      </c>
      <c r="AA19" t="str" cm="1">
        <f t="array" ref="AA19">_xlfn.LET(_xlpm.dates, _xlfn._xlws.FILTER(G19:Z19, G19:Z19&lt;&gt;""),_xlpm.sorted,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"&amp;F19&amp;""": ["&amp;_xlpm.result&amp;"]")</f>
        <v>"Tier 18": [{"start": "2026-08-25", "end": "2026-08-25"},{"start": "2026-09-16", "end": "2026-09-16"}]</v>
      </c>
    </row>
    <row r="20" spans="1:27" x14ac:dyDescent="0.2">
      <c r="A20" s="3">
        <v>46087</v>
      </c>
      <c r="B20" s="2">
        <v>607.92999999999995</v>
      </c>
      <c r="C20">
        <f t="shared" si="0"/>
        <v>148</v>
      </c>
      <c r="D20">
        <v>477.96</v>
      </c>
      <c r="F20">
        <v>19</v>
      </c>
      <c r="G20" s="3" cm="1">
        <f t="array" ref="G20">TRANSPOSE(_xlfn._xlws.FILTER($A$2:$A$2000, $C$2:$C$2000=F20))</f>
        <v>46265</v>
      </c>
      <c r="AA20" t="str" cm="1">
        <f t="array" ref="AA20">_xlfn.LET(_xlpm.dates, _xlfn._xlws.FILTER(G20:Z20, G20:Z20&lt;&gt;""),_xlpm.sorted,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"&amp;F20&amp;""": ["&amp;_xlpm.result&amp;"]")</f>
        <v>"Tier 19": [{"start": "2026-08-31", "end": "2026-08-31"}]</v>
      </c>
    </row>
    <row r="21" spans="1:27" x14ac:dyDescent="0.2">
      <c r="A21" s="3">
        <v>46088</v>
      </c>
      <c r="B21" s="2">
        <v>609.24</v>
      </c>
      <c r="C21">
        <f t="shared" si="0"/>
        <v>150</v>
      </c>
      <c r="D21">
        <v>478.43</v>
      </c>
      <c r="F21">
        <v>20</v>
      </c>
      <c r="G21" s="3" cm="1">
        <f t="array" ref="G21">TRANSPOSE(_xlfn._xlws.FILTER($A$2:$A$2000, $C$2:$C$2000=F21))</f>
        <v>46267</v>
      </c>
      <c r="AA21" t="str" cm="1">
        <f t="array" ref="AA21">_xlfn.LET(_xlpm.dates, _xlfn._xlws.FILTER(G21:Z21, G21:Z21&lt;&gt;""),_xlpm.sorted,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"&amp;F21&amp;""": ["&amp;_xlpm.result&amp;"]")</f>
        <v>"Tier 20": [{"start": "2026-09-02", "end": "2026-09-02"}]</v>
      </c>
    </row>
    <row r="22" spans="1:27" x14ac:dyDescent="0.2">
      <c r="A22" s="3">
        <v>46089</v>
      </c>
      <c r="B22" s="2">
        <v>607.29</v>
      </c>
      <c r="C22">
        <f t="shared" si="0"/>
        <v>147</v>
      </c>
      <c r="D22">
        <v>479.22</v>
      </c>
      <c r="F22">
        <v>21</v>
      </c>
      <c r="G22" s="3" cm="1">
        <f t="array" ref="G22">TRANSPOSE(_xlfn._xlws.FILTER($A$2:$A$2000, $C$2:$C$2000=F22))</f>
        <v>46287</v>
      </c>
      <c r="AA22" t="str" cm="1">
        <f t="array" ref="AA22">_xlfn.LET(_xlpm.dates, _xlfn._xlws.FILTER(G22:Z22, G22:Z22&lt;&gt;""),_xlpm.sorted,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"&amp;F22&amp;""": ["&amp;_xlpm.result&amp;"]")</f>
        <v>"Tier 21": [{"start": "2026-09-22", "end": "2026-09-22"}]</v>
      </c>
    </row>
    <row r="23" spans="1:27" x14ac:dyDescent="0.2">
      <c r="A23" s="3">
        <v>46090</v>
      </c>
      <c r="B23" s="2">
        <v>605.34</v>
      </c>
      <c r="C23">
        <f t="shared" si="0"/>
        <v>142</v>
      </c>
      <c r="D23">
        <v>480.53</v>
      </c>
      <c r="F23">
        <v>22</v>
      </c>
      <c r="G23" s="3" cm="1">
        <f t="array" ref="G23">TRANSPOSE(_xlfn._xlws.FILTER($A$2:$A$2000, $C$2:$C$2000=F23))</f>
        <v>46285</v>
      </c>
      <c r="AA23" t="str" cm="1">
        <f t="array" ref="AA23">_xlfn.LET(_xlpm.dates, _xlfn._xlws.FILTER(G23:Z23, G23:Z23&lt;&gt;""),_xlpm.sorted,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"&amp;F23&amp;""": ["&amp;_xlpm.result&amp;"]")</f>
        <v>"Tier 22": [{"start": "2026-09-20", "end": "2026-09-20"}]</v>
      </c>
    </row>
    <row r="24" spans="1:27" x14ac:dyDescent="0.2">
      <c r="A24" s="3">
        <v>46091</v>
      </c>
      <c r="B24" s="2">
        <v>607.29</v>
      </c>
      <c r="C24">
        <f t="shared" si="0"/>
        <v>147</v>
      </c>
      <c r="D24">
        <v>482.18</v>
      </c>
      <c r="F24">
        <v>23</v>
      </c>
      <c r="G24" s="3" cm="1">
        <f t="array" ref="G24">TRANSPOSE(_xlfn._xlws.FILTER($A$2:$A$2000, $C$2:$C$2000=F24))</f>
        <v>46276</v>
      </c>
      <c r="AA24" t="str" cm="1">
        <f t="array" ref="AA24">_xlfn.LET(_xlpm.dates, _xlfn._xlws.FILTER(G24:Z24, G24:Z24&lt;&gt;""),_xlpm.sorted,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"&amp;F24&amp;""": ["&amp;_xlpm.result&amp;"]")</f>
        <v>"Tier 23": [{"start": "2026-09-11", "end": "2026-09-11"}]</v>
      </c>
    </row>
    <row r="25" spans="1:27" x14ac:dyDescent="0.2">
      <c r="A25" s="3">
        <v>46092</v>
      </c>
      <c r="B25" s="2">
        <v>609.24</v>
      </c>
      <c r="C25">
        <f t="shared" si="0"/>
        <v>150</v>
      </c>
      <c r="D25">
        <v>482.45</v>
      </c>
      <c r="F25">
        <v>24</v>
      </c>
      <c r="G25" s="3" cm="1">
        <f t="array" ref="G25">TRANSPOSE(_xlfn._xlws.FILTER($A$2:$A$2000, $C$2:$C$2000=F25))</f>
        <v>46271</v>
      </c>
      <c r="AA25" t="str" cm="1">
        <f t="array" ref="AA25">_xlfn.LET(_xlpm.dates, _xlfn._xlws.FILTER(G25:Z25, G25:Z25&lt;&gt;""),_xlpm.sorted,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"&amp;F25&amp;""": ["&amp;_xlpm.result&amp;"]")</f>
        <v>"Tier 24": [{"start": "2026-09-06", "end": "2026-09-06"}]</v>
      </c>
    </row>
    <row r="26" spans="1:27" x14ac:dyDescent="0.2">
      <c r="A26" s="3">
        <v>46093</v>
      </c>
      <c r="B26" s="2">
        <v>611.16999999999996</v>
      </c>
      <c r="C26">
        <f t="shared" si="0"/>
        <v>156</v>
      </c>
      <c r="D26">
        <v>484.38</v>
      </c>
      <c r="F26">
        <v>25</v>
      </c>
      <c r="G26" s="3" cm="1">
        <f t="array" ref="G26">TRANSPOSE(_xlfn._xlws.FILTER($A$2:$A$2000, $C$2:$C$2000=F26))</f>
        <v>46250</v>
      </c>
      <c r="AA26" t="str" cm="1">
        <f t="array" ref="AA26">_xlfn.LET(_xlpm.dates, _xlfn._xlws.FILTER(G26:Z26, G26:Z26&lt;&gt;""),_xlpm.sorted,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"&amp;F26&amp;""": ["&amp;_xlpm.result&amp;"]")</f>
        <v>"Tier 25": [{"start": "2026-08-16", "end": "2026-08-16"}]</v>
      </c>
    </row>
    <row r="27" spans="1:27" x14ac:dyDescent="0.2">
      <c r="A27" s="3">
        <v>46094</v>
      </c>
      <c r="B27" s="2">
        <v>609.89</v>
      </c>
      <c r="C27">
        <f t="shared" si="0"/>
        <v>153</v>
      </c>
      <c r="D27">
        <v>485.67</v>
      </c>
      <c r="F27">
        <v>26</v>
      </c>
      <c r="G27" s="3" cm="1">
        <f t="array" ref="G27">TRANSPOSE(_xlfn._xlws.FILTER($A$2:$A$2000, $C$2:$C$2000=F27))</f>
        <v>46264</v>
      </c>
      <c r="AA27" t="str" cm="1">
        <f t="array" ref="AA27">_xlfn.LET(_xlpm.dates, _xlfn._xlws.FILTER(G27:Z27, G27:Z27&lt;&gt;""),_xlpm.sorted,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"&amp;F27&amp;""": ["&amp;_xlpm.result&amp;"]")</f>
        <v>"Tier 26": [{"start": "2026-08-30", "end": "2026-08-30"}]</v>
      </c>
    </row>
    <row r="28" spans="1:27" x14ac:dyDescent="0.2">
      <c r="A28" s="3">
        <v>46095</v>
      </c>
      <c r="B28" s="2">
        <v>606.65</v>
      </c>
      <c r="C28">
        <f t="shared" si="0"/>
        <v>145</v>
      </c>
      <c r="D28">
        <v>488.62</v>
      </c>
      <c r="F28">
        <v>27</v>
      </c>
      <c r="G28" s="3" cm="1">
        <f t="array" ref="G28">TRANSPOSE(_xlfn._xlws.FILTER($A$2:$A$2000, $C$2:$C$2000=F28))</f>
        <v>46260</v>
      </c>
      <c r="AA28" t="str" cm="1">
        <f t="array" ref="AA28">_xlfn.LET(_xlpm.dates, _xlfn._xlws.FILTER(G28:Z28, G28:Z28&lt;&gt;""),_xlpm.sorted,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"&amp;F28&amp;""": ["&amp;_xlpm.result&amp;"]")</f>
        <v>"Tier 27": [{"start": "2026-08-26", "end": "2026-08-26"}]</v>
      </c>
    </row>
    <row r="29" spans="1:27" x14ac:dyDescent="0.2">
      <c r="A29" s="3">
        <v>46096</v>
      </c>
      <c r="B29" s="2">
        <v>600.80999999999995</v>
      </c>
      <c r="C29">
        <f t="shared" si="0"/>
        <v>127</v>
      </c>
      <c r="D29">
        <v>489.89</v>
      </c>
      <c r="F29">
        <v>28</v>
      </c>
      <c r="G29" s="3" cm="1">
        <f t="array" ref="G29">TRANSPOSE(_xlfn._xlws.FILTER($A$2:$A$2000, $C$2:$C$2000=F29))</f>
        <v>46288</v>
      </c>
      <c r="AA29" t="str" cm="1">
        <f t="array" ref="AA29">_xlfn.LET(_xlpm.dates, _xlfn._xlws.FILTER(G29:Z29, G29:Z29&lt;&gt;""),_xlpm.sorted,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"&amp;F29&amp;""": ["&amp;_xlpm.result&amp;"]")</f>
        <v>"Tier 28": [{"start": "2026-09-23", "end": "2026-09-23"}]</v>
      </c>
    </row>
    <row r="30" spans="1:27" x14ac:dyDescent="0.2">
      <c r="A30" s="3">
        <v>46097</v>
      </c>
      <c r="B30" s="2">
        <v>594.98</v>
      </c>
      <c r="C30">
        <f t="shared" si="0"/>
        <v>115</v>
      </c>
      <c r="D30">
        <v>491.61</v>
      </c>
      <c r="F30">
        <v>29</v>
      </c>
      <c r="G30" s="3" cm="1">
        <f t="array" ref="G30">TRANSPOSE(_xlfn._xlws.FILTER($A$2:$A$2000, $C$2:$C$2000=F30))</f>
        <v>46282</v>
      </c>
      <c r="AA30" t="str" cm="1">
        <f t="array" ref="AA30">_xlfn.LET(_xlpm.dates, _xlfn._xlws.FILTER(G30:Z30, G30:Z30&lt;&gt;""),_xlpm.sorted,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"&amp;F30&amp;""": ["&amp;_xlpm.result&amp;"]")</f>
        <v>"Tier 29": [{"start": "2026-09-17", "end": "2026-09-17"}]</v>
      </c>
    </row>
    <row r="31" spans="1:27" x14ac:dyDescent="0.2">
      <c r="A31" s="3">
        <v>46098</v>
      </c>
      <c r="B31" s="2">
        <v>595.62</v>
      </c>
      <c r="C31">
        <f t="shared" si="0"/>
        <v>117</v>
      </c>
      <c r="D31">
        <v>493.08</v>
      </c>
      <c r="F31">
        <v>30</v>
      </c>
      <c r="G31" s="3" cm="1">
        <f t="array" ref="G31">TRANSPOSE(_xlfn._xlws.FILTER($A$2:$A$2000, $C$2:$C$2000=F31))</f>
        <v>46261</v>
      </c>
      <c r="AA31" t="str" cm="1">
        <f t="array" ref="AA31">_xlfn.LET(_xlpm.dates, _xlfn._xlws.FILTER(G31:Z31, G31:Z31&lt;&gt;""),_xlpm.sorted,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"&amp;F31&amp;""": ["&amp;_xlpm.result&amp;"]")</f>
        <v>"Tier 30": [{"start": "2026-08-27", "end": "2026-08-27"}]</v>
      </c>
    </row>
    <row r="32" spans="1:27" x14ac:dyDescent="0.2">
      <c r="A32" s="3">
        <v>46099</v>
      </c>
      <c r="B32" s="2">
        <v>596.92999999999995</v>
      </c>
      <c r="C32">
        <f t="shared" si="0"/>
        <v>119</v>
      </c>
      <c r="D32">
        <v>493.76</v>
      </c>
      <c r="F32">
        <v>31</v>
      </c>
      <c r="G32" s="3" cm="1">
        <f t="array" ref="G32">TRANSPOSE(_xlfn._xlws.FILTER($A$2:$A$2000, $C$2:$C$2000=F32))</f>
        <v>46284</v>
      </c>
      <c r="AA32" t="str" cm="1">
        <f t="array" ref="AA32">_xlfn.LET(_xlpm.dates, _xlfn._xlws.FILTER(G32:Z32, G32:Z32&lt;&gt;""),_xlpm.sorted,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"&amp;F32&amp;""": ["&amp;_xlpm.result&amp;"]")</f>
        <v>"Tier 31": [{"start": "2026-09-19", "end": "2026-09-19"}]</v>
      </c>
    </row>
    <row r="33" spans="1:27" x14ac:dyDescent="0.2">
      <c r="A33" s="3">
        <v>46100</v>
      </c>
      <c r="B33" s="2">
        <v>600.80999999999995</v>
      </c>
      <c r="C33">
        <f t="shared" si="0"/>
        <v>127</v>
      </c>
      <c r="D33">
        <v>495.42</v>
      </c>
      <c r="F33">
        <v>32</v>
      </c>
      <c r="G33" s="3" cm="1">
        <f t="array" ref="G33">TRANSPOSE(_xlfn._xlws.FILTER($A$2:$A$2000, $C$2:$C$2000=F33))</f>
        <v>46268</v>
      </c>
      <c r="AA33" t="str" cm="1">
        <f t="array" ref="AA33">_xlfn.LET(_xlpm.dates, _xlfn._xlws.FILTER(G33:Z33, G33:Z33&lt;&gt;""),_xlpm.sorted,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"&amp;F33&amp;""": ["&amp;_xlpm.result&amp;"]")</f>
        <v>"Tier 32": [{"start": "2026-09-03", "end": "2026-09-03"}]</v>
      </c>
    </row>
    <row r="34" spans="1:27" x14ac:dyDescent="0.2">
      <c r="A34" s="3">
        <v>46101</v>
      </c>
      <c r="B34" s="2">
        <v>604.69000000000005</v>
      </c>
      <c r="C34">
        <f t="shared" si="0"/>
        <v>140</v>
      </c>
      <c r="D34">
        <v>498.16</v>
      </c>
      <c r="F34">
        <v>33</v>
      </c>
      <c r="G34" s="3" cm="1">
        <f t="array" ref="G34">TRANSPOSE(_xlfn._xlws.FILTER($A$2:$A$2000, $C$2:$C$2000=F34))</f>
        <v>46244</v>
      </c>
      <c r="AA34" t="str" cm="1">
        <f t="array" ref="AA34">_xlfn.LET(_xlpm.dates, _xlfn._xlws.FILTER(G34:Z34, G34:Z34&lt;&gt;""),_xlpm.sorted,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"&amp;F34&amp;""": ["&amp;_xlpm.result&amp;"]")</f>
        <v>"Tier 33": [{"start": "2026-08-10", "end": "2026-08-10"}]</v>
      </c>
    </row>
    <row r="35" spans="1:27" x14ac:dyDescent="0.2">
      <c r="A35" s="3">
        <v>46102</v>
      </c>
      <c r="B35" s="2">
        <v>602.1</v>
      </c>
      <c r="C35">
        <f t="shared" si="0"/>
        <v>132</v>
      </c>
      <c r="D35">
        <v>500.21</v>
      </c>
      <c r="F35">
        <v>34</v>
      </c>
      <c r="G35" s="3" cm="1">
        <f t="array" ref="G35">TRANSPOSE(_xlfn._xlws.FILTER($A$2:$A$2000, $C$2:$C$2000=F35))</f>
        <v>46283</v>
      </c>
      <c r="AA35" t="str" cm="1">
        <f t="array" ref="AA35">_xlfn.LET(_xlpm.dates, _xlfn._xlws.FILTER(G35:Z35, G35:Z35&lt;&gt;""),_xlpm.sorted,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"&amp;F35&amp;""": ["&amp;_xlpm.result&amp;"]")</f>
        <v>"Tier 34": [{"start": "2026-09-18", "end": "2026-09-18"}]</v>
      </c>
    </row>
    <row r="36" spans="1:27" x14ac:dyDescent="0.2">
      <c r="A36" s="3">
        <v>46103</v>
      </c>
      <c r="B36" s="2">
        <v>598.86</v>
      </c>
      <c r="C36">
        <f t="shared" si="0"/>
        <v>123</v>
      </c>
      <c r="D36">
        <v>500.48</v>
      </c>
      <c r="F36">
        <v>35</v>
      </c>
      <c r="G36" s="3" cm="1">
        <f t="array" ref="G36">TRANSPOSE(_xlfn._xlws.FILTER($A$2:$A$2000, $C$2:$C$2000=F36))</f>
        <v>46249</v>
      </c>
      <c r="AA36" t="str" cm="1">
        <f t="array" ref="AA36">_xlfn.LET(_xlpm.dates, _xlfn._xlws.FILTER(G36:Z36, G36:Z36&lt;&gt;""),_xlpm.sorted,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"&amp;F36&amp;""": ["&amp;_xlpm.result&amp;"]")</f>
        <v>"Tier 35": [{"start": "2026-08-15", "end": "2026-08-15"}]</v>
      </c>
    </row>
    <row r="37" spans="1:27" x14ac:dyDescent="0.2">
      <c r="A37" s="3">
        <v>46104</v>
      </c>
      <c r="B37" s="2">
        <v>595.62</v>
      </c>
      <c r="C37">
        <f t="shared" si="0"/>
        <v>117</v>
      </c>
      <c r="D37">
        <v>501.36</v>
      </c>
      <c r="F37">
        <v>36</v>
      </c>
      <c r="G37" s="3" cm="1">
        <f t="array" ref="G37">TRANSPOSE(_xlfn._xlws.FILTER($A$2:$A$2000, $C$2:$C$2000=F37))</f>
        <v>46245</v>
      </c>
      <c r="AA37" t="str" cm="1">
        <f t="array" ref="AA37">_xlfn.LET(_xlpm.dates, _xlfn._xlws.FILTER(G37:Z37, G37:Z37&lt;&gt;""),_xlpm.sorted,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"&amp;F37&amp;""": ["&amp;_xlpm.result&amp;"]")</f>
        <v>"Tier 36": [{"start": "2026-08-11", "end": "2026-08-11"}]</v>
      </c>
    </row>
    <row r="38" spans="1:27" x14ac:dyDescent="0.2">
      <c r="A38" s="3">
        <v>46105</v>
      </c>
      <c r="B38" s="2">
        <v>593.69000000000005</v>
      </c>
      <c r="C38">
        <f t="shared" si="0"/>
        <v>112</v>
      </c>
      <c r="D38">
        <v>502.43</v>
      </c>
      <c r="F38">
        <v>37</v>
      </c>
      <c r="G38" s="3" cm="1">
        <f t="array" ref="G38">TRANSPOSE(_xlfn._xlws.FILTER($A$2:$A$2000, $C$2:$C$2000=F38))</f>
        <v>46289</v>
      </c>
      <c r="AA38" t="str" cm="1">
        <f t="array" ref="AA38">_xlfn.LET(_xlpm.dates, _xlfn._xlws.FILTER(G38:Z38, G38:Z38&lt;&gt;""),_xlpm.sorted,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"&amp;F38&amp;""": ["&amp;_xlpm.result&amp;"]")</f>
        <v>"Tier 37": [{"start": "2026-09-24", "end": "2026-09-24"}]</v>
      </c>
    </row>
    <row r="39" spans="1:27" x14ac:dyDescent="0.2">
      <c r="A39" s="3">
        <v>46106</v>
      </c>
      <c r="B39" s="2">
        <v>598.86</v>
      </c>
      <c r="C39">
        <f t="shared" si="0"/>
        <v>123</v>
      </c>
      <c r="D39">
        <v>503.42</v>
      </c>
      <c r="F39">
        <v>38</v>
      </c>
      <c r="G39" s="3" cm="1">
        <f t="array" ref="G39:H39">TRANSPOSE(_xlfn._xlws.FILTER($A$2:$A$2000, $C$2:$C$2000=F39))</f>
        <v>46263</v>
      </c>
      <c r="H39" s="3">
        <v>46270</v>
      </c>
      <c r="AA39" t="str" cm="1">
        <f t="array" ref="AA39">_xlfn.LET(_xlpm.dates, _xlfn._xlws.FILTER(G39:Z39, G39:Z39&lt;&gt;""),_xlpm.sorted,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"&amp;F39&amp;""": ["&amp;_xlpm.result&amp;"]")</f>
        <v>"Tier 38": [{"start": "2026-08-29", "end": "2026-08-29"},{"start": "2026-09-05", "end": "2026-09-05"}]</v>
      </c>
    </row>
    <row r="40" spans="1:27" x14ac:dyDescent="0.2">
      <c r="A40" s="3">
        <v>46107</v>
      </c>
      <c r="B40" s="2">
        <v>604.05999999999995</v>
      </c>
      <c r="C40">
        <f t="shared" si="0"/>
        <v>137</v>
      </c>
      <c r="D40">
        <v>505.61</v>
      </c>
      <c r="F40">
        <v>39</v>
      </c>
      <c r="G40" s="3" cm="1">
        <f t="array" ref="G40">TRANSPOSE(_xlfn._xlws.FILTER($A$2:$A$2000, $C$2:$C$2000=F40))</f>
        <v>46262</v>
      </c>
      <c r="AA40" t="str" cm="1">
        <f t="array" ref="AA40">_xlfn.LET(_xlpm.dates, _xlfn._xlws.FILTER(G40:Z40, G40:Z40&lt;&gt;""),_xlpm.sorted,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"&amp;F40&amp;""": ["&amp;_xlpm.result&amp;"]")</f>
        <v>"Tier 39": [{"start": "2026-08-28", "end": "2026-08-28"}]</v>
      </c>
    </row>
    <row r="41" spans="1:27" x14ac:dyDescent="0.2">
      <c r="A41" s="3">
        <v>46108</v>
      </c>
      <c r="B41" s="2">
        <v>607.29</v>
      </c>
      <c r="C41">
        <f t="shared" si="0"/>
        <v>147</v>
      </c>
      <c r="D41">
        <v>507.54</v>
      </c>
      <c r="F41">
        <v>40</v>
      </c>
      <c r="G41" s="3" cm="1">
        <f t="array" ref="G41">TRANSPOSE(_xlfn._xlws.FILTER($A$2:$A$2000, $C$2:$C$2000=F41))</f>
        <v>46243</v>
      </c>
      <c r="AA41" t="str" cm="1">
        <f t="array" ref="AA41">_xlfn.LET(_xlpm.dates, _xlfn._xlws.FILTER(G41:Z41, G41:Z41&lt;&gt;""),_xlpm.sorted,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"&amp;F41&amp;""": ["&amp;_xlpm.result&amp;"]")</f>
        <v>"Tier 40": [{"start": "2026-08-09", "end": "2026-08-09"}]</v>
      </c>
    </row>
    <row r="42" spans="1:27" x14ac:dyDescent="0.2">
      <c r="A42" s="3">
        <v>46109</v>
      </c>
      <c r="B42" s="2">
        <v>609.24</v>
      </c>
      <c r="C42">
        <f t="shared" si="0"/>
        <v>150</v>
      </c>
      <c r="D42">
        <v>509.86</v>
      </c>
      <c r="F42">
        <v>41</v>
      </c>
      <c r="G42" s="3" cm="1">
        <f t="array" ref="G42">TRANSPOSE(_xlfn._xlws.FILTER($A$2:$A$2000, $C$2:$C$2000=F42))</f>
        <v>46290</v>
      </c>
      <c r="AA42" t="str" cm="1">
        <f t="array" ref="AA42">_xlfn.LET(_xlpm.dates, _xlfn._xlws.FILTER(G42:Z42, G42:Z42&lt;&gt;""),_xlpm.sorted,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"&amp;F42&amp;""": ["&amp;_xlpm.result&amp;"]")</f>
        <v>"Tier 41": [{"start": "2026-09-25", "end": "2026-09-25"}]</v>
      </c>
    </row>
    <row r="43" spans="1:27" x14ac:dyDescent="0.2">
      <c r="A43" s="3">
        <v>46110</v>
      </c>
      <c r="B43" s="1">
        <v>607.29</v>
      </c>
      <c r="C43">
        <f t="shared" si="0"/>
        <v>147</v>
      </c>
      <c r="D43">
        <v>511.15</v>
      </c>
      <c r="F43">
        <v>42</v>
      </c>
      <c r="G43" s="3" cm="1">
        <f t="array" ref="G43">TRANSPOSE(_xlfn._xlws.FILTER($A$2:$A$2000, $C$2:$C$2000=F43))</f>
        <v>46291</v>
      </c>
      <c r="AA43" t="str" cm="1">
        <f t="array" ref="AA43">_xlfn.LET(_xlpm.dates, _xlfn._xlws.FILTER(G43:Z43, G43:Z43&lt;&gt;""),_xlpm.sorted,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"&amp;F43&amp;""": ["&amp;_xlpm.result&amp;"]")</f>
        <v>"Tier 42": [{"start": "2026-09-26", "end": "2026-09-26"}]</v>
      </c>
    </row>
    <row r="44" spans="1:27" x14ac:dyDescent="0.2">
      <c r="A44" s="3">
        <v>46111</v>
      </c>
      <c r="B44" s="1">
        <v>605.34</v>
      </c>
      <c r="C44">
        <f t="shared" si="0"/>
        <v>142</v>
      </c>
      <c r="D44">
        <v>511.53</v>
      </c>
      <c r="F44">
        <v>43</v>
      </c>
      <c r="G44" s="3" cm="1">
        <f t="array" ref="G44">TRANSPOSE(_xlfn._xlws.FILTER($A$2:$A$2000, $C$2:$C$2000=F44))</f>
        <v>46246</v>
      </c>
      <c r="AA44" t="str" cm="1">
        <f t="array" ref="AA44">_xlfn.LET(_xlpm.dates, _xlfn._xlws.FILTER(G44:Z44, G44:Z44&lt;&gt;""),_xlpm.sorted,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"&amp;F44&amp;""": ["&amp;_xlpm.result&amp;"]")</f>
        <v>"Tier 43": [{"start": "2026-08-12", "end": "2026-08-12"}]</v>
      </c>
    </row>
    <row r="45" spans="1:27" x14ac:dyDescent="0.2">
      <c r="A45" s="3">
        <v>46112</v>
      </c>
      <c r="B45" s="1">
        <v>607.29</v>
      </c>
      <c r="C45">
        <f t="shared" si="0"/>
        <v>147</v>
      </c>
      <c r="D45">
        <v>512.42999999999995</v>
      </c>
      <c r="F45">
        <v>44</v>
      </c>
      <c r="G45" s="3" cm="1">
        <f t="array" ref="G45">TRANSPOSE(_xlfn._xlws.FILTER($A$2:$A$2000, $C$2:$C$2000=F45))</f>
        <v>46269</v>
      </c>
      <c r="AA45" t="str" cm="1">
        <f t="array" ref="AA45">_xlfn.LET(_xlpm.dates, _xlfn._xlws.FILTER(G45:Z45, G45:Z45&lt;&gt;""),_xlpm.sorted,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"&amp;F45&amp;""": ["&amp;_xlpm.result&amp;"]")</f>
        <v>"Tier 44": [{"start": "2026-09-04", "end": "2026-09-04"}]</v>
      </c>
    </row>
    <row r="46" spans="1:27" x14ac:dyDescent="0.2">
      <c r="A46" s="3">
        <v>46113</v>
      </c>
      <c r="B46" s="2">
        <v>609.24</v>
      </c>
      <c r="C46">
        <f t="shared" si="0"/>
        <v>150</v>
      </c>
      <c r="D46">
        <v>518.5</v>
      </c>
      <c r="F46">
        <v>45</v>
      </c>
      <c r="G46" s="3" cm="1">
        <f t="array" ref="G46">TRANSPOSE(_xlfn._xlws.FILTER($A$2:$A$2000, $C$2:$C$2000=F46))</f>
        <v>46242</v>
      </c>
      <c r="AA46" t="str" cm="1">
        <f t="array" ref="AA46">_xlfn.LET(_xlpm.dates, _xlfn._xlws.FILTER(G46:Z46, G46:Z46&lt;&gt;""),_xlpm.sorted,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"&amp;F46&amp;""": ["&amp;_xlpm.result&amp;"]")</f>
        <v>"Tier 45": [{"start": "2026-08-08", "end": "2026-08-08"}]</v>
      </c>
    </row>
    <row r="47" spans="1:27" x14ac:dyDescent="0.2">
      <c r="A47" s="3">
        <v>46114</v>
      </c>
      <c r="B47" s="2">
        <v>611.16999999999996</v>
      </c>
      <c r="C47">
        <f t="shared" si="0"/>
        <v>156</v>
      </c>
      <c r="D47">
        <v>518.87</v>
      </c>
      <c r="F47">
        <v>46</v>
      </c>
      <c r="G47" s="3" cm="1">
        <f t="array" ref="G47">TRANSPOSE(_xlfn._xlws.FILTER($A$2:$A$2000, $C$2:$C$2000=F47))</f>
        <v>46238</v>
      </c>
      <c r="AA47" t="str" cm="1">
        <f t="array" ref="AA47">_xlfn.LET(_xlpm.dates, _xlfn._xlws.FILTER(G47:Z47, G47:Z47&lt;&gt;""),_xlpm.sorted,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"&amp;F47&amp;""": ["&amp;_xlpm.result&amp;"]")</f>
        <v>"Tier 46": [{"start": "2026-08-04", "end": "2026-08-04"}]</v>
      </c>
    </row>
    <row r="48" spans="1:27" x14ac:dyDescent="0.2">
      <c r="A48" s="3">
        <v>46115</v>
      </c>
      <c r="B48" s="2">
        <v>611.16999999999996</v>
      </c>
      <c r="C48">
        <f t="shared" si="0"/>
        <v>156</v>
      </c>
      <c r="D48">
        <v>522.09</v>
      </c>
      <c r="F48">
        <v>47</v>
      </c>
      <c r="G48" s="3" cm="1">
        <f t="array" ref="G48">TRANSPOSE(_xlfn._xlws.FILTER($A$2:$A$2000, $C$2:$C$2000=F48))</f>
        <v>46237</v>
      </c>
      <c r="AA48" t="str" cm="1">
        <f t="array" ref="AA48">_xlfn.LET(_xlpm.dates, _xlfn._xlws.FILTER(G48:Z48, G48:Z48&lt;&gt;""),_xlpm.sorted,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"&amp;F48&amp;""": ["&amp;_xlpm.result&amp;"]")</f>
        <v>"Tier 47": [{"start": "2026-08-03", "end": "2026-08-03"}]</v>
      </c>
    </row>
    <row r="49" spans="1:27" x14ac:dyDescent="0.2">
      <c r="A49" s="3">
        <v>46116</v>
      </c>
      <c r="B49" s="2">
        <v>609.24</v>
      </c>
      <c r="C49">
        <f t="shared" si="0"/>
        <v>150</v>
      </c>
      <c r="D49">
        <v>522.79999999999995</v>
      </c>
      <c r="F49">
        <v>48</v>
      </c>
      <c r="G49" s="3" cm="1">
        <f t="array" ref="G49">TRANSPOSE(_xlfn._xlws.FILTER($A$2:$A$2000, $C$2:$C$2000=F49))</f>
        <v>46247</v>
      </c>
      <c r="AA49" t="str" cm="1">
        <f t="array" ref="AA49">_xlfn.LET(_xlpm.dates, _xlfn._xlws.FILTER(G49:Z49, G49:Z49&lt;&gt;""),_xlpm.sorted,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"&amp;F49&amp;""": ["&amp;_xlpm.result&amp;"]")</f>
        <v>"Tier 48": [{"start": "2026-08-13", "end": "2026-08-13"}]</v>
      </c>
    </row>
    <row r="50" spans="1:27" x14ac:dyDescent="0.2">
      <c r="A50" s="3">
        <v>46117</v>
      </c>
      <c r="B50" s="2">
        <v>607.29</v>
      </c>
      <c r="C50">
        <f t="shared" si="0"/>
        <v>147</v>
      </c>
      <c r="D50">
        <v>524.01</v>
      </c>
      <c r="F50">
        <v>49</v>
      </c>
      <c r="G50" s="3" cm="1">
        <f t="array" ref="G50">TRANSPOSE(_xlfn._xlws.FILTER($A$2:$A$2000, $C$2:$C$2000=F50))</f>
        <v>46239</v>
      </c>
      <c r="AA50" t="str" cm="1">
        <f t="array" ref="AA50">_xlfn.LET(_xlpm.dates, _xlfn._xlws.FILTER(G50:Z50, G50:Z50&lt;&gt;""),_xlpm.sorted,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"&amp;F50&amp;""": ["&amp;_xlpm.result&amp;"]")</f>
        <v>"Tier 49": [{"start": "2026-08-05", "end": "2026-08-05"}]</v>
      </c>
    </row>
    <row r="51" spans="1:27" x14ac:dyDescent="0.2">
      <c r="A51" s="3">
        <v>46118</v>
      </c>
      <c r="B51" s="2">
        <v>605.34</v>
      </c>
      <c r="C51">
        <f t="shared" si="0"/>
        <v>142</v>
      </c>
      <c r="D51">
        <v>527.24</v>
      </c>
      <c r="F51">
        <v>50</v>
      </c>
      <c r="G51" s="3" cm="1">
        <f t="array" ref="G51">TRANSPOSE(_xlfn._xlws.FILTER($A$2:$A$2000, $C$2:$C$2000=F51))</f>
        <v>46248</v>
      </c>
      <c r="AA51" t="str" cm="1">
        <f t="array" ref="AA51">_xlfn.LET(_xlpm.dates, _xlfn._xlws.FILTER(G51:Z51, G51:Z51&lt;&gt;""),_xlpm.sorted,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"&amp;F51&amp;""": ["&amp;_xlpm.result&amp;"]")</f>
        <v>"Tier 50": [{"start": "2026-08-14", "end": "2026-08-14"}]</v>
      </c>
    </row>
    <row r="52" spans="1:27" x14ac:dyDescent="0.2">
      <c r="A52" s="3">
        <v>46119</v>
      </c>
      <c r="B52" s="2">
        <v>607.29</v>
      </c>
      <c r="C52">
        <f t="shared" si="0"/>
        <v>147</v>
      </c>
      <c r="D52">
        <v>529.16999999999996</v>
      </c>
      <c r="F52">
        <v>51</v>
      </c>
      <c r="G52" s="3" cm="1">
        <f t="array" ref="G52:H52">TRANSPOSE(_xlfn._xlws.FILTER($A$2:$A$2000, $C$2:$C$2000=F52))</f>
        <v>46240</v>
      </c>
      <c r="H52" s="3">
        <v>46241</v>
      </c>
      <c r="AA52" t="str" cm="1">
        <f t="array" ref="AA52">_xlfn.LET(_xlpm.dates, _xlfn._xlws.FILTER(G52:Z52, G52:Z52&lt;&gt;""),_xlpm.sorted,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"&amp;F52&amp;""": ["&amp;_xlpm.result&amp;"]")</f>
        <v>"Tier 51": [{"start": "2026-08-06", "end": "2026-08-06"},{"start": "2026-08-07", "end": "2026-08-07"}]</v>
      </c>
    </row>
    <row r="53" spans="1:27" x14ac:dyDescent="0.2">
      <c r="A53" s="3">
        <v>46120</v>
      </c>
      <c r="B53" s="2">
        <v>609.24</v>
      </c>
      <c r="C53">
        <f t="shared" si="0"/>
        <v>150</v>
      </c>
      <c r="D53">
        <v>531.09</v>
      </c>
      <c r="F53">
        <v>52</v>
      </c>
      <c r="G53" s="3" cm="1">
        <f t="array" ref="G53">TRANSPOSE(_xlfn._xlws.FILTER($A$2:$A$2000, $C$2:$C$2000=F53))</f>
        <v>46236</v>
      </c>
      <c r="AA53" t="str" cm="1">
        <f t="array" ref="AA53">_xlfn.LET(_xlpm.dates, _xlfn._xlws.FILTER(G53:Z53, G53:Z53&lt;&gt;""),_xlpm.sorted,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"&amp;F53&amp;""": ["&amp;_xlpm.result&amp;"]")</f>
        <v>"Tier 52": [{"start": "2026-08-02", "end": "2026-08-02"}]</v>
      </c>
    </row>
    <row r="54" spans="1:27" x14ac:dyDescent="0.2">
      <c r="A54" s="3">
        <v>46121</v>
      </c>
      <c r="B54" s="2">
        <v>611.16999999999996</v>
      </c>
      <c r="C54">
        <f t="shared" si="0"/>
        <v>156</v>
      </c>
      <c r="D54">
        <v>532.48</v>
      </c>
      <c r="F54">
        <v>53</v>
      </c>
      <c r="G54" s="3" cm="1">
        <f t="array" ref="G54">TRANSPOSE(_xlfn._xlws.FILTER($A$2:$A$2000, $C$2:$C$2000=F54))</f>
        <v>46292</v>
      </c>
      <c r="AA54" t="str" cm="1">
        <f t="array" ref="AA54">_xlfn.LET(_xlpm.dates, _xlfn._xlws.FILTER(G54:Z54, G54:Z54&lt;&gt;""),_xlpm.sorted,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"&amp;F54&amp;""": ["&amp;_xlpm.result&amp;"]")</f>
        <v>"Tier 53": [{"start": "2026-09-27", "end": "2026-09-27"}]</v>
      </c>
    </row>
    <row r="55" spans="1:27" x14ac:dyDescent="0.2">
      <c r="A55" s="3">
        <v>46122</v>
      </c>
      <c r="B55" s="2">
        <v>611.16999999999996</v>
      </c>
      <c r="C55">
        <f t="shared" si="0"/>
        <v>156</v>
      </c>
      <c r="D55">
        <v>536.24</v>
      </c>
      <c r="F55">
        <v>54</v>
      </c>
      <c r="G55" s="3" cm="1">
        <f t="array" ref="G55">TRANSPOSE(_xlfn._xlws.FILTER($A$2:$A$2000, $C$2:$C$2000=F55))</f>
        <v>46230</v>
      </c>
      <c r="AA55" t="str" cm="1">
        <f t="array" ref="AA55">_xlfn.LET(_xlpm.dates, _xlfn._xlws.FILTER(G55:Z55, G55:Z55&lt;&gt;""),_xlpm.sorted,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"&amp;F55&amp;""": ["&amp;_xlpm.result&amp;"]")</f>
        <v>"Tier 54": [{"start": "2026-07-27", "end": "2026-07-27"}]</v>
      </c>
    </row>
    <row r="56" spans="1:27" x14ac:dyDescent="0.2">
      <c r="A56" s="3">
        <v>46123</v>
      </c>
      <c r="B56" s="2">
        <v>605.98</v>
      </c>
      <c r="C56">
        <f t="shared" si="0"/>
        <v>143</v>
      </c>
      <c r="D56">
        <v>539.46</v>
      </c>
      <c r="F56">
        <v>55</v>
      </c>
      <c r="G56" s="3" cm="1">
        <f t="array" ref="G56">TRANSPOSE(_xlfn._xlws.FILTER($A$2:$A$2000, $C$2:$C$2000=F56))</f>
        <v>46229</v>
      </c>
      <c r="AA56" t="str" cm="1">
        <f t="array" ref="AA56">_xlfn.LET(_xlpm.dates, _xlfn._xlws.FILTER(G56:Z56, G56:Z56&lt;&gt;""),_xlpm.sorted,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"&amp;F56&amp;""": ["&amp;_xlpm.result&amp;"]")</f>
        <v>"Tier 55": [{"start": "2026-07-26", "end": "2026-07-26"}]</v>
      </c>
    </row>
    <row r="57" spans="1:27" x14ac:dyDescent="0.2">
      <c r="A57" s="3">
        <v>46124</v>
      </c>
      <c r="B57" s="2">
        <v>600.80999999999995</v>
      </c>
      <c r="C57">
        <f t="shared" si="0"/>
        <v>127</v>
      </c>
      <c r="D57">
        <v>540.09</v>
      </c>
      <c r="F57">
        <v>56</v>
      </c>
      <c r="G57" s="3" cm="1">
        <f t="array" ref="G57">TRANSPOSE(_xlfn._xlws.FILTER($A$2:$A$2000, $C$2:$C$2000=F57))</f>
        <v>46231</v>
      </c>
      <c r="AA57" t="str" cm="1">
        <f t="array" ref="AA57">_xlfn.LET(_xlpm.dates, _xlfn._xlws.FILTER(G57:Z57, G57:Z57&lt;&gt;""),_xlpm.sorted,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"&amp;F57&amp;""": ["&amp;_xlpm.result&amp;"]")</f>
        <v>"Tier 56": [{"start": "2026-07-28", "end": "2026-07-28"}]</v>
      </c>
    </row>
    <row r="58" spans="1:27" x14ac:dyDescent="0.2">
      <c r="A58" s="3">
        <v>46125</v>
      </c>
      <c r="B58" s="2">
        <v>595.62</v>
      </c>
      <c r="C58">
        <f t="shared" si="0"/>
        <v>117</v>
      </c>
      <c r="D58">
        <v>542.66999999999996</v>
      </c>
      <c r="F58">
        <v>57</v>
      </c>
      <c r="G58" s="3" cm="1">
        <f t="array" ref="G58:H58">TRANSPOSE(_xlfn._xlws.FILTER($A$2:$A$2000, $C$2:$C$2000=F58))</f>
        <v>46222</v>
      </c>
      <c r="H58" s="3">
        <v>46223</v>
      </c>
      <c r="AA58" t="str" cm="1">
        <f t="array" ref="AA58">_xlfn.LET(_xlpm.dates, _xlfn._xlws.FILTER(G58:Z58, G58:Z58&lt;&gt;""),_xlpm.sorted,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"&amp;F58&amp;""": ["&amp;_xlpm.result&amp;"]")</f>
        <v>"Tier 57": [{"start": "2026-07-19", "end": "2026-07-19"},{"start": "2026-07-20", "end": "2026-07-20"}]</v>
      </c>
    </row>
    <row r="59" spans="1:27" x14ac:dyDescent="0.2">
      <c r="A59" s="3">
        <v>46126</v>
      </c>
      <c r="B59" s="2">
        <v>597.57000000000005</v>
      </c>
      <c r="C59">
        <f t="shared" si="0"/>
        <v>121</v>
      </c>
      <c r="D59">
        <v>543.33000000000004</v>
      </c>
      <c r="F59">
        <v>58</v>
      </c>
      <c r="G59" s="3" cm="1">
        <f t="array" ref="G59">TRANSPOSE(_xlfn._xlws.FILTER($A$2:$A$2000, $C$2:$C$2000=F59))</f>
        <v>46235</v>
      </c>
      <c r="AA59" t="str" cm="1">
        <f t="array" ref="AA59">_xlfn.LET(_xlpm.dates, _xlfn._xlws.FILTER(G59:Z59, G59:Z59&lt;&gt;""),_xlpm.sorted,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"&amp;F59&amp;""": ["&amp;_xlpm.result&amp;"]")</f>
        <v>"Tier 58": [{"start": "2026-08-01", "end": "2026-08-01"}]</v>
      </c>
    </row>
    <row r="60" spans="1:27" x14ac:dyDescent="0.2">
      <c r="A60" s="3">
        <v>46127</v>
      </c>
      <c r="B60" s="2">
        <v>602.76</v>
      </c>
      <c r="C60">
        <f t="shared" si="0"/>
        <v>133</v>
      </c>
      <c r="D60">
        <v>545.44000000000005</v>
      </c>
      <c r="F60">
        <v>59</v>
      </c>
      <c r="G60" s="3" cm="1">
        <f t="array" ref="G60">TRANSPOSE(_xlfn._xlws.FILTER($A$2:$A$2000, $C$2:$C$2000=F60))</f>
        <v>46216</v>
      </c>
      <c r="AA60" t="str" cm="1">
        <f t="array" ref="AA60">_xlfn.LET(_xlpm.dates, _xlfn._xlws.FILTER(G60:Z60, G60:Z60&lt;&gt;""),_xlpm.sorted,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"&amp;F60&amp;""": ["&amp;_xlpm.result&amp;"]")</f>
        <v>"Tier 59": [{"start": "2026-07-13", "end": "2026-07-13"}]</v>
      </c>
    </row>
    <row r="61" spans="1:27" x14ac:dyDescent="0.2">
      <c r="A61" s="3">
        <v>46128</v>
      </c>
      <c r="B61" s="2">
        <v>607.92999999999995</v>
      </c>
      <c r="C61">
        <f t="shared" si="0"/>
        <v>148</v>
      </c>
      <c r="D61">
        <v>545.91</v>
      </c>
      <c r="F61">
        <v>60</v>
      </c>
      <c r="G61" s="3" cm="1">
        <f t="array" ref="G61:H61">TRANSPOSE(_xlfn._xlws.FILTER($A$2:$A$2000, $C$2:$C$2000=F61))</f>
        <v>46221</v>
      </c>
      <c r="H61" s="3">
        <v>46228</v>
      </c>
      <c r="AA61" t="str" cm="1">
        <f t="array" ref="AA61">_xlfn.LET(_xlpm.dates, _xlfn._xlws.FILTER(G61:Z61, G61:Z61&lt;&gt;""),_xlpm.sorted,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"&amp;F61&amp;""": ["&amp;_xlpm.result&amp;"]")</f>
        <v>"Tier 60": [{"start": "2026-07-18", "end": "2026-07-18"},{"start": "2026-07-25", "end": "2026-07-25"}]</v>
      </c>
    </row>
    <row r="62" spans="1:27" x14ac:dyDescent="0.2">
      <c r="A62" s="3">
        <v>46129</v>
      </c>
      <c r="B62" s="2">
        <v>611.16999999999996</v>
      </c>
      <c r="C62">
        <f t="shared" si="0"/>
        <v>156</v>
      </c>
      <c r="D62">
        <v>547.16999999999996</v>
      </c>
      <c r="F62">
        <v>61</v>
      </c>
      <c r="G62" s="3" cm="1">
        <f t="array" ref="G62">TRANSPOSE(_xlfn._xlws.FILTER($A$2:$A$2000, $C$2:$C$2000=F62))</f>
        <v>46232</v>
      </c>
      <c r="AA62" t="str" cm="1">
        <f t="array" ref="AA62">_xlfn.LET(_xlpm.dates, _xlfn._xlws.FILTER(G62:Z62, G62:Z62&lt;&gt;""),_xlpm.sorted,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"&amp;F62&amp;""": ["&amp;_xlpm.result&amp;"]")</f>
        <v>"Tier 61": [{"start": "2026-07-29", "end": "2026-07-29"}]</v>
      </c>
    </row>
    <row r="63" spans="1:27" x14ac:dyDescent="0.2">
      <c r="A63" s="3">
        <v>46130</v>
      </c>
      <c r="B63" s="2">
        <v>609.24</v>
      </c>
      <c r="C63">
        <f t="shared" si="0"/>
        <v>150</v>
      </c>
      <c r="D63">
        <v>549.12</v>
      </c>
      <c r="F63">
        <v>62</v>
      </c>
      <c r="G63" s="3" cm="1">
        <f t="array" ref="G63:H63">TRANSPOSE(_xlfn._xlws.FILTER($A$2:$A$2000, $C$2:$C$2000=F63))</f>
        <v>46224</v>
      </c>
      <c r="H63" s="3">
        <v>46234</v>
      </c>
      <c r="AA63" t="str" cm="1">
        <f t="array" ref="AA63">_xlfn.LET(_xlpm.dates, _xlfn._xlws.FILTER(G63:Z63, G63:Z63&lt;&gt;""),_xlpm.sorted,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"&amp;F63&amp;""": ["&amp;_xlpm.result&amp;"]")</f>
        <v>"Tier 62": [{"start": "2026-07-21", "end": "2026-07-21"},{"start": "2026-07-31", "end": "2026-07-31"}]</v>
      </c>
    </row>
    <row r="64" spans="1:27" x14ac:dyDescent="0.2">
      <c r="A64" s="3">
        <v>46131</v>
      </c>
      <c r="B64" s="2">
        <v>604.05999999999995</v>
      </c>
      <c r="C64">
        <f t="shared" si="0"/>
        <v>137</v>
      </c>
      <c r="D64">
        <v>551.04999999999995</v>
      </c>
      <c r="F64">
        <v>63</v>
      </c>
      <c r="G64" s="3" cm="1">
        <f t="array" ref="G64">TRANSPOSE(_xlfn._xlws.FILTER($A$2:$A$2000, $C$2:$C$2000=F64))</f>
        <v>46233</v>
      </c>
      <c r="AA64" t="str" cm="1">
        <f t="array" ref="AA64">_xlfn.LET(_xlpm.dates, _xlfn._xlws.FILTER(G64:Z64, G64:Z64&lt;&gt;""),_xlpm.sorted,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"&amp;F64&amp;""": ["&amp;_xlpm.result&amp;"]")</f>
        <v>"Tier 63": [{"start": "2026-07-30", "end": "2026-07-30"}]</v>
      </c>
    </row>
    <row r="65" spans="1:27" x14ac:dyDescent="0.2">
      <c r="A65" s="3">
        <v>46132</v>
      </c>
      <c r="B65" s="2">
        <v>598.86</v>
      </c>
      <c r="C65">
        <f t="shared" si="0"/>
        <v>123</v>
      </c>
      <c r="D65">
        <v>551.91999999999996</v>
      </c>
      <c r="F65">
        <v>64</v>
      </c>
      <c r="G65" s="3" cm="1">
        <f t="array" ref="G65">TRANSPOSE(_xlfn._xlws.FILTER($A$2:$A$2000, $C$2:$C$2000=F65))</f>
        <v>46217</v>
      </c>
      <c r="AA65" t="str" cm="1">
        <f t="array" ref="AA65">_xlfn.LET(_xlpm.dates, _xlfn._xlws.FILTER(G65:Z65, G65:Z65&lt;&gt;""),_xlpm.sorted,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"&amp;F65&amp;""": ["&amp;_xlpm.result&amp;"]")</f>
        <v>"Tier 64": [{"start": "2026-07-14", "end": "2026-07-14"}]</v>
      </c>
    </row>
    <row r="66" spans="1:27" x14ac:dyDescent="0.2">
      <c r="A66" s="3">
        <v>46133</v>
      </c>
      <c r="B66" s="2">
        <v>600.80999999999995</v>
      </c>
      <c r="C66">
        <f t="shared" si="0"/>
        <v>127</v>
      </c>
      <c r="D66">
        <v>552.30999999999995</v>
      </c>
      <c r="F66">
        <v>65</v>
      </c>
      <c r="G66" s="3" cm="1">
        <f t="array" ref="G66:J66">TRANSPOSE(_xlfn._xlws.FILTER($A$2:$A$2000, $C$2:$C$2000=F66))</f>
        <v>46213</v>
      </c>
      <c r="H66" s="3">
        <v>46219</v>
      </c>
      <c r="I66" s="3">
        <v>46220</v>
      </c>
      <c r="J66" s="3">
        <v>46227</v>
      </c>
      <c r="AA66" t="str" cm="1">
        <f t="array" ref="AA66">_xlfn.LET(_xlpm.dates, _xlfn._xlws.FILTER(G66:Z66, G66:Z66&lt;&gt;""),_xlpm.sorted,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"&amp;F66&amp;""": ["&amp;_xlpm.result&amp;"]")</f>
        <v>"Tier 65": [{"start": "2026-07-10", "end": "2026-07-10"},{"start": "2026-07-16", "end": "2026-07-16"},{"start": "2026-07-17", "end": "2026-07-17"},{"start": "2026-07-24", "end": "2026-07-24"}]</v>
      </c>
    </row>
    <row r="67" spans="1:27" x14ac:dyDescent="0.2">
      <c r="A67" s="3">
        <v>46134</v>
      </c>
      <c r="B67" s="2">
        <v>602.76</v>
      </c>
      <c r="C67">
        <f t="shared" ref="C67:C130" si="1">MATCH(B67, $D$1:$D$213, 0)-1</f>
        <v>133</v>
      </c>
      <c r="D67">
        <v>554.03</v>
      </c>
      <c r="F67">
        <v>66</v>
      </c>
      <c r="G67" s="3" cm="1">
        <f t="array" ref="G67">TRANSPOSE(_xlfn._xlws.FILTER($A$2:$A$2000, $C$2:$C$2000=F67))</f>
        <v>46293</v>
      </c>
      <c r="AA67" t="str" cm="1">
        <f t="array" ref="AA67">_xlfn.LET(_xlpm.dates, _xlfn._xlws.FILTER(G67:Z67, G67:Z67&lt;&gt;""),_xlpm.sorted,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"&amp;F67&amp;""": ["&amp;_xlpm.result&amp;"]")</f>
        <v>"Tier 66": [{"start": "2026-09-28", "end": "2026-09-28"}]</v>
      </c>
    </row>
    <row r="68" spans="1:27" x14ac:dyDescent="0.2">
      <c r="A68" s="3">
        <v>46135</v>
      </c>
      <c r="B68" s="2">
        <v>607.92999999999995</v>
      </c>
      <c r="C68">
        <f t="shared" si="1"/>
        <v>148</v>
      </c>
      <c r="D68">
        <v>555.16</v>
      </c>
      <c r="F68">
        <v>67</v>
      </c>
      <c r="G68" s="3" cm="1">
        <f t="array" ref="G68:H68">TRANSPOSE(_xlfn._xlws.FILTER($A$2:$A$2000, $C$2:$C$2000=F68))</f>
        <v>46210</v>
      </c>
      <c r="H68" s="3">
        <v>46218</v>
      </c>
      <c r="AA68" t="str" cm="1">
        <f t="array" ref="AA68">_xlfn.LET(_xlpm.dates, _xlfn._xlws.FILTER(G68:Z68, G68:Z68&lt;&gt;""),_xlpm.sorted,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"&amp;F68&amp;""": ["&amp;_xlpm.result&amp;"]")</f>
        <v>"Tier 67": [{"start": "2026-07-07", "end": "2026-07-07"},{"start": "2026-07-15", "end": "2026-07-15"}]</v>
      </c>
    </row>
    <row r="69" spans="1:27" x14ac:dyDescent="0.2">
      <c r="A69" s="3">
        <v>46136</v>
      </c>
      <c r="B69" s="2">
        <v>607.29</v>
      </c>
      <c r="C69">
        <f t="shared" si="1"/>
        <v>147</v>
      </c>
      <c r="D69">
        <v>555.47</v>
      </c>
      <c r="F69">
        <v>68</v>
      </c>
      <c r="G69" s="3" cm="1">
        <f t="array" ref="G69">TRANSPOSE(_xlfn._xlws.FILTER($A$2:$A$2000, $C$2:$C$2000=F69))</f>
        <v>46215</v>
      </c>
      <c r="AA69" t="str" cm="1">
        <f t="array" ref="AA69">_xlfn.LET(_xlpm.dates, _xlfn._xlws.FILTER(G69:Z69, G69:Z69&lt;&gt;""),_xlpm.sorted,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"&amp;F69&amp;""": ["&amp;_xlpm.result&amp;"]")</f>
        <v>"Tier 68": [{"start": "2026-07-12", "end": "2026-07-12"}]</v>
      </c>
    </row>
    <row r="70" spans="1:27" x14ac:dyDescent="0.2">
      <c r="A70" s="3">
        <v>46137</v>
      </c>
      <c r="B70" s="1">
        <v>598.22</v>
      </c>
      <c r="C70">
        <f t="shared" si="1"/>
        <v>122</v>
      </c>
      <c r="D70">
        <v>555.54</v>
      </c>
      <c r="F70">
        <v>69</v>
      </c>
      <c r="G70" s="3" cm="1">
        <f t="array" ref="G70:J70">TRANSPOSE(_xlfn._xlws.FILTER($A$2:$A$2000, $C$2:$C$2000=F70))</f>
        <v>46211</v>
      </c>
      <c r="H70" s="3">
        <v>46212</v>
      </c>
      <c r="I70" s="3">
        <v>46225</v>
      </c>
      <c r="J70" s="3">
        <v>46226</v>
      </c>
      <c r="AA70" t="str" cm="1">
        <f t="array" ref="AA70">_xlfn.LET(_xlpm.dates, _xlfn._xlws.FILTER(G70:Z70, G70:Z70&lt;&gt;""),_xlpm.sorted,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"&amp;F70&amp;""": ["&amp;_xlpm.result&amp;"]")</f>
        <v>"Tier 69": [{"start": "2026-07-08", "end": "2026-07-08"},{"start": "2026-07-09", "end": "2026-07-09"},{"start": "2026-07-22", "end": "2026-07-22"},{"start": "2026-07-23", "end": "2026-07-23"}]</v>
      </c>
    </row>
    <row r="71" spans="1:27" x14ac:dyDescent="0.2">
      <c r="A71" s="3">
        <v>46138</v>
      </c>
      <c r="B71" s="1">
        <v>585.91999999999996</v>
      </c>
      <c r="C71">
        <f t="shared" si="1"/>
        <v>98</v>
      </c>
      <c r="D71">
        <v>555.78</v>
      </c>
      <c r="F71">
        <v>70</v>
      </c>
      <c r="G71" s="3" cm="1">
        <f t="array" ref="G71">TRANSPOSE(_xlfn._xlws.FILTER($A$2:$A$2000, $C$2:$C$2000=F71))</f>
        <v>46209</v>
      </c>
      <c r="AA71" t="str" cm="1">
        <f t="array" ref="AA71">_xlfn.LET(_xlpm.dates, _xlfn._xlws.FILTER(G71:Z71, G71:Z71&lt;&gt;""),_xlpm.sorted,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"&amp;F71&amp;""": ["&amp;_xlpm.result&amp;"]")</f>
        <v>"Tier 70": [{"start": "2026-07-06", "end": "2026-07-06"}]</v>
      </c>
    </row>
    <row r="72" spans="1:27" x14ac:dyDescent="0.2">
      <c r="A72" s="3">
        <v>46139</v>
      </c>
      <c r="B72" s="1">
        <v>576.85</v>
      </c>
      <c r="C72">
        <f t="shared" si="1"/>
        <v>84</v>
      </c>
      <c r="D72">
        <v>558.72</v>
      </c>
      <c r="F72">
        <v>71</v>
      </c>
      <c r="G72" s="3" cm="1">
        <f t="array" ref="G72">TRANSPOSE(_xlfn._xlws.FILTER($A$2:$A$2000, $C$2:$C$2000=F72))</f>
        <v>46214</v>
      </c>
      <c r="AA72" t="str" cm="1">
        <f t="array" ref="AA72">_xlfn.LET(_xlpm.dates, _xlfn._xlws.FILTER(G72:Z72, G72:Z72&lt;&gt;""),_xlpm.sorted,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"&amp;F72&amp;""": ["&amp;_xlpm.result&amp;"]")</f>
        <v>"Tier 71": [{"start": "2026-07-11", "end": "2026-07-11"}]</v>
      </c>
    </row>
    <row r="73" spans="1:27" x14ac:dyDescent="0.2">
      <c r="A73" s="3">
        <v>46140</v>
      </c>
      <c r="B73" s="1">
        <v>571.98</v>
      </c>
      <c r="C73">
        <f t="shared" si="1"/>
        <v>75</v>
      </c>
      <c r="D73">
        <v>563.57000000000005</v>
      </c>
      <c r="F73">
        <v>72</v>
      </c>
      <c r="G73" s="3" cm="1">
        <f t="array" ref="G73">TRANSPOSE(_xlfn._xlws.FILTER($A$2:$A$2000, $C$2:$C$2000=F73))</f>
        <v>46208</v>
      </c>
      <c r="AA73" t="str" cm="1">
        <f t="array" ref="AA73">_xlfn.LET(_xlpm.dates, _xlfn._xlws.FILTER(G73:Z73, G73:Z73&lt;&gt;""),_xlpm.sorted,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"&amp;F73&amp;""": ["&amp;_xlpm.result&amp;"]")</f>
        <v>"Tier 72": [{"start": "2026-07-05", "end": "2026-07-05"}]</v>
      </c>
    </row>
    <row r="74" spans="1:27" x14ac:dyDescent="0.2">
      <c r="A74" s="3">
        <v>46141</v>
      </c>
      <c r="B74" s="1">
        <v>577.41999999999996</v>
      </c>
      <c r="C74">
        <f t="shared" si="1"/>
        <v>85</v>
      </c>
      <c r="D74">
        <v>567.13</v>
      </c>
      <c r="F74">
        <v>73</v>
      </c>
      <c r="G74" s="3" cm="1">
        <f t="array" ref="G74:H74">TRANSPOSE(_xlfn._xlws.FILTER($A$2:$A$2000, $C$2:$C$2000=F74))</f>
        <v>46181</v>
      </c>
      <c r="H74" s="3">
        <v>46188</v>
      </c>
      <c r="AA74" t="str" cm="1">
        <f t="array" ref="AA74">_xlfn.LET(_xlpm.dates, _xlfn._xlws.FILTER(G74:Z74, G74:Z74&lt;&gt;""),_xlpm.sorted,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"&amp;F74&amp;""": ["&amp;_xlpm.result&amp;"]")</f>
        <v>"Tier 73": [{"start": "2026-06-08", "end": "2026-06-08"},{"start": "2026-06-15", "end": "2026-06-15"}]</v>
      </c>
    </row>
    <row r="75" spans="1:27" x14ac:dyDescent="0.2">
      <c r="A75" s="3">
        <v>46142</v>
      </c>
      <c r="B75" s="2">
        <v>585.58000000000004</v>
      </c>
      <c r="C75">
        <f t="shared" si="1"/>
        <v>97</v>
      </c>
      <c r="D75">
        <v>570.35</v>
      </c>
      <c r="F75">
        <v>74</v>
      </c>
      <c r="G75" s="3" cm="1">
        <f t="array" ref="G75:I75">TRANSPOSE(_xlfn._xlws.FILTER($A$2:$A$2000, $C$2:$C$2000=F75))</f>
        <v>46182</v>
      </c>
      <c r="H75" s="3">
        <v>46187</v>
      </c>
      <c r="I75" s="3">
        <v>46189</v>
      </c>
      <c r="AA75" t="str" cm="1">
        <f t="array" ref="AA75">_xlfn.LET(_xlpm.dates, _xlfn._xlws.FILTER(G75:Z75, G75:Z75&lt;&gt;""),_xlpm.sorted,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"&amp;F75&amp;""": ["&amp;_xlpm.result&amp;"]")</f>
        <v>"Tier 74": [{"start": "2026-06-09", "end": "2026-06-09"},{"start": "2026-06-14", "end": "2026-06-14"},{"start": "2026-06-16", "end": "2026-06-16"}]</v>
      </c>
    </row>
    <row r="76" spans="1:27" x14ac:dyDescent="0.2">
      <c r="A76" s="3">
        <v>46143</v>
      </c>
      <c r="B76" s="2">
        <v>590.92999999999995</v>
      </c>
      <c r="C76">
        <f t="shared" si="1"/>
        <v>107</v>
      </c>
      <c r="D76">
        <v>571.98</v>
      </c>
      <c r="F76">
        <v>75</v>
      </c>
      <c r="G76" s="3" cm="1">
        <f t="array" ref="G76">TRANSPOSE(_xlfn._xlws.FILTER($A$2:$A$2000, $C$2:$C$2000=F76))</f>
        <v>46140</v>
      </c>
      <c r="AA76" t="str" cm="1">
        <f t="array" ref="AA76">_xlfn.LET(_xlpm.dates, _xlfn._xlws.FILTER(G76:Z76, G76:Z76&lt;&gt;""),_xlpm.sorted,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"&amp;F76&amp;""": ["&amp;_xlpm.result&amp;"]")</f>
        <v>"Tier 75": [{"start": "2026-04-28", "end": "2026-04-28"}]</v>
      </c>
    </row>
    <row r="77" spans="1:27" x14ac:dyDescent="0.2">
      <c r="A77" s="3">
        <v>46144</v>
      </c>
      <c r="B77" s="2">
        <v>590.76</v>
      </c>
      <c r="C77">
        <f t="shared" si="1"/>
        <v>106</v>
      </c>
      <c r="D77">
        <v>572.91999999999996</v>
      </c>
      <c r="F77">
        <v>76</v>
      </c>
      <c r="G77" s="3" cm="1">
        <f t="array" ref="G77">TRANSPOSE(_xlfn._xlws.FILTER($A$2:$A$2000, $C$2:$C$2000=F77))</f>
        <v>46145</v>
      </c>
      <c r="AA77" t="str" cm="1">
        <f t="array" ref="AA77">_xlfn.LET(_xlpm.dates, _xlfn._xlws.FILTER(G77:Z77, G77:Z77&lt;&gt;""),_xlpm.sorted,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"&amp;F77&amp;""": ["&amp;_xlpm.result&amp;"]")</f>
        <v>"Tier 76": [{"start": "2026-05-03", "end": "2026-05-03"}]</v>
      </c>
    </row>
    <row r="78" spans="1:27" x14ac:dyDescent="0.2">
      <c r="A78" s="3">
        <v>46145</v>
      </c>
      <c r="B78" s="2">
        <v>572.91999999999996</v>
      </c>
      <c r="C78">
        <f t="shared" si="1"/>
        <v>76</v>
      </c>
      <c r="D78">
        <v>573.27</v>
      </c>
      <c r="F78">
        <v>77</v>
      </c>
      <c r="G78" s="3" cm="1">
        <f t="array" ref="G78">TRANSPOSE(_xlfn._xlws.FILTER($A$2:$A$2000, $C$2:$C$2000=F78))</f>
        <v>46180</v>
      </c>
      <c r="AA78" t="str" cm="1">
        <f t="array" ref="AA78">_xlfn.LET(_xlpm.dates, _xlfn._xlws.FILTER(G78:Z78, G78:Z78&lt;&gt;""),_xlpm.sorted,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"&amp;F78&amp;""": ["&amp;_xlpm.result&amp;"]")</f>
        <v>"Tier 77": [{"start": "2026-06-07", "end": "2026-06-07"}]</v>
      </c>
    </row>
    <row r="79" spans="1:27" x14ac:dyDescent="0.2">
      <c r="A79" s="3">
        <v>46146</v>
      </c>
      <c r="B79" s="2">
        <v>577.51</v>
      </c>
      <c r="C79">
        <f t="shared" si="1"/>
        <v>86</v>
      </c>
      <c r="D79">
        <v>573.57000000000005</v>
      </c>
      <c r="F79">
        <v>78</v>
      </c>
      <c r="G79" s="3" cm="1">
        <f t="array" ref="G79:K79">TRANSPOSE(_xlfn._xlws.FILTER($A$2:$A$2000, $C$2:$C$2000=F79))</f>
        <v>46174</v>
      </c>
      <c r="H79" s="3">
        <v>46175</v>
      </c>
      <c r="I79" s="3">
        <v>46176</v>
      </c>
      <c r="J79" s="3">
        <v>46179</v>
      </c>
      <c r="K79" s="3">
        <v>46194</v>
      </c>
      <c r="AA79" t="str" cm="1">
        <f t="array" ref="AA79">_xlfn.LET(_xlpm.dates, _xlfn._xlws.FILTER(G79:Z79, G79:Z79&lt;&gt;""),_xlpm.sorted,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"&amp;F79&amp;""": ["&amp;_xlpm.result&amp;"]")</f>
        <v>"Tier 78": [{"start": "2026-06-01", "end": "2026-06-01"},{"start": "2026-06-02", "end": "2026-06-02"},{"start": "2026-06-03", "end": "2026-06-03"},{"start": "2026-06-06", "end": "2026-06-06"},{"start": "2026-06-21", "end": "2026-06-21"}]</v>
      </c>
    </row>
    <row r="80" spans="1:27" x14ac:dyDescent="0.2">
      <c r="A80" s="3">
        <v>46147</v>
      </c>
      <c r="B80" s="2">
        <v>577.51</v>
      </c>
      <c r="C80">
        <f t="shared" si="1"/>
        <v>86</v>
      </c>
      <c r="D80">
        <v>573.61</v>
      </c>
      <c r="F80">
        <v>79</v>
      </c>
      <c r="G80" s="3" cm="1">
        <f t="array" ref="G80:H80">TRANSPOSE(_xlfn._xlws.FILTER($A$2:$A$2000, $C$2:$C$2000=F80))</f>
        <v>46083</v>
      </c>
      <c r="H80" s="3">
        <v>46160</v>
      </c>
      <c r="AA80" t="str" cm="1">
        <f t="array" ref="AA80">_xlfn.LET(_xlpm.dates, _xlfn._xlws.FILTER(G80:Z80, G80:Z80&lt;&gt;""),_xlpm.sorted,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"&amp;F80&amp;""": ["&amp;_xlpm.result&amp;"]")</f>
        <v>"Tier 79": [{"start": "2026-03-02", "end": "2026-03-02"},{"start": "2026-05-18", "end": "2026-05-18"}]</v>
      </c>
    </row>
    <row r="81" spans="1:27" x14ac:dyDescent="0.2">
      <c r="A81" s="3">
        <v>46148</v>
      </c>
      <c r="B81" s="2">
        <v>583.97</v>
      </c>
      <c r="C81">
        <f t="shared" si="1"/>
        <v>94</v>
      </c>
      <c r="D81">
        <v>574.21</v>
      </c>
      <c r="F81">
        <v>80</v>
      </c>
      <c r="G81" s="3" cm="1">
        <f t="array" ref="G81">TRANSPOSE(_xlfn._xlws.FILTER($A$2:$A$2000, $C$2:$C$2000=F81))</f>
        <v>46173</v>
      </c>
      <c r="AA81" t="str" cm="1">
        <f t="array" ref="AA81">_xlfn.LET(_xlpm.dates, _xlfn._xlws.FILTER(G81:Z81, G81:Z81&lt;&gt;""),_xlpm.sorted,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"&amp;F81&amp;""": ["&amp;_xlpm.result&amp;"]")</f>
        <v>"Tier 80": [{"start": "2026-05-31", "end": "2026-05-31"}]</v>
      </c>
    </row>
    <row r="82" spans="1:27" x14ac:dyDescent="0.2">
      <c r="A82" s="3">
        <v>46149</v>
      </c>
      <c r="B82" s="2">
        <v>598.86</v>
      </c>
      <c r="C82">
        <f t="shared" si="1"/>
        <v>123</v>
      </c>
      <c r="D82">
        <v>574.29999999999995</v>
      </c>
      <c r="F82">
        <v>81</v>
      </c>
      <c r="G82" s="3" cm="1">
        <f t="array" ref="G82">TRANSPOSE(_xlfn._xlws.FILTER($A$2:$A$2000, $C$2:$C$2000=F82))</f>
        <v>46294</v>
      </c>
      <c r="AA82" t="str" cm="1">
        <f t="array" ref="AA82">_xlfn.LET(_xlpm.dates, _xlfn._xlws.FILTER(G82:Z82, G82:Z82&lt;&gt;""),_xlpm.sorted,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"&amp;F82&amp;""": ["&amp;_xlpm.result&amp;"]")</f>
        <v>"Tier 81": [{"start": "2026-09-29", "end": "2026-09-29"}]</v>
      </c>
    </row>
    <row r="83" spans="1:27" x14ac:dyDescent="0.2">
      <c r="A83" s="3">
        <v>46150</v>
      </c>
      <c r="B83" s="2">
        <v>605.34</v>
      </c>
      <c r="C83">
        <f t="shared" si="1"/>
        <v>142</v>
      </c>
      <c r="D83">
        <v>575.54999999999995</v>
      </c>
      <c r="F83">
        <v>82</v>
      </c>
      <c r="G83" s="3" cm="1">
        <f t="array" ref="G83">TRANSPOSE(_xlfn._xlws.FILTER($A$2:$A$2000, $C$2:$C$2000=F83))</f>
        <v>46084</v>
      </c>
      <c r="AA83" t="str" cm="1">
        <f t="array" ref="AA83">_xlfn.LET(_xlpm.dates, _xlfn._xlws.FILTER(G83:Z83, G83:Z83&lt;&gt;""),_xlpm.sorted,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"&amp;F83&amp;""": ["&amp;_xlpm.result&amp;"]")</f>
        <v>"Tier 82": [{"start": "2026-03-03", "end": "2026-03-03"}]</v>
      </c>
    </row>
    <row r="84" spans="1:27" x14ac:dyDescent="0.2">
      <c r="A84" s="3">
        <v>46151</v>
      </c>
      <c r="B84" s="2">
        <v>596.92999999999995</v>
      </c>
      <c r="C84">
        <f t="shared" si="1"/>
        <v>119</v>
      </c>
      <c r="D84">
        <v>576.79999999999995</v>
      </c>
      <c r="F84">
        <v>83</v>
      </c>
      <c r="G84" s="3" cm="1">
        <f t="array" ref="G84:K84">TRANSPOSE(_xlfn._xlws.FILTER($A$2:$A$2000, $C$2:$C$2000=F84))</f>
        <v>46177</v>
      </c>
      <c r="H84" s="3">
        <v>46183</v>
      </c>
      <c r="I84" s="3">
        <v>46186</v>
      </c>
      <c r="J84" s="3">
        <v>46190</v>
      </c>
      <c r="K84" s="3">
        <v>46195</v>
      </c>
      <c r="AA84" t="str" cm="1">
        <f t="array" ref="AA84">_xlfn.LET(_xlpm.dates, _xlfn._xlws.FILTER(G84:Z84, G84:Z84&lt;&gt;""),_xlpm.sorted,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"&amp;F84&amp;""": ["&amp;_xlpm.result&amp;"]")</f>
        <v>"Tier 83": [{"start": "2026-06-04", "end": "2026-06-04"},{"start": "2026-06-10", "end": "2026-06-10"},{"start": "2026-06-13", "end": "2026-06-13"},{"start": "2026-06-17", "end": "2026-06-17"},{"start": "2026-06-22", "end": "2026-06-22"}]</v>
      </c>
    </row>
    <row r="85" spans="1:27" x14ac:dyDescent="0.2">
      <c r="A85" s="3">
        <v>46152</v>
      </c>
      <c r="B85" s="2">
        <v>588.5</v>
      </c>
      <c r="C85">
        <f t="shared" si="1"/>
        <v>103</v>
      </c>
      <c r="D85">
        <v>576.85</v>
      </c>
      <c r="F85">
        <v>84</v>
      </c>
      <c r="G85" s="3" cm="1">
        <f t="array" ref="G85">TRANSPOSE(_xlfn._xlws.FILTER($A$2:$A$2000, $C$2:$C$2000=F85))</f>
        <v>46139</v>
      </c>
      <c r="AA85" t="str" cm="1">
        <f t="array" ref="AA85">_xlfn.LET(_xlpm.dates, _xlfn._xlws.FILTER(G85:Z85, G85:Z85&lt;&gt;""),_xlpm.sorted,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"&amp;F85&amp;""": ["&amp;_xlpm.result&amp;"]")</f>
        <v>"Tier 84": [{"start": "2026-04-27", "end": "2026-04-27"}]</v>
      </c>
    </row>
    <row r="86" spans="1:27" x14ac:dyDescent="0.2">
      <c r="A86" s="3">
        <v>46153</v>
      </c>
      <c r="B86" s="2">
        <v>580.09</v>
      </c>
      <c r="C86">
        <f t="shared" si="1"/>
        <v>90</v>
      </c>
      <c r="D86">
        <v>577.41999999999996</v>
      </c>
      <c r="F86">
        <v>85</v>
      </c>
      <c r="G86" s="3" cm="1">
        <f t="array" ref="G86">TRANSPOSE(_xlfn._xlws.FILTER($A$2:$A$2000, $C$2:$C$2000=F86))</f>
        <v>46141</v>
      </c>
      <c r="AA86" t="str" cm="1">
        <f t="array" ref="AA86">_xlfn.LET(_xlpm.dates, _xlfn._xlws.FILTER(G86:Z86, G86:Z86&lt;&gt;""),_xlpm.sorted,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"&amp;F86&amp;""": ["&amp;_xlpm.result&amp;"]")</f>
        <v>"Tier 85": [{"start": "2026-04-29", "end": "2026-04-29"}]</v>
      </c>
    </row>
    <row r="87" spans="1:27" x14ac:dyDescent="0.2">
      <c r="A87" s="3">
        <v>46154</v>
      </c>
      <c r="B87" s="2">
        <v>583.97</v>
      </c>
      <c r="C87">
        <f t="shared" si="1"/>
        <v>94</v>
      </c>
      <c r="D87">
        <v>577.51</v>
      </c>
      <c r="F87">
        <v>86</v>
      </c>
      <c r="G87" s="3" cm="1">
        <f t="array" ref="G87:I87">TRANSPOSE(_xlfn._xlws.FILTER($A$2:$A$2000, $C$2:$C$2000=F87))</f>
        <v>46146</v>
      </c>
      <c r="H87" s="3">
        <v>46147</v>
      </c>
      <c r="I87" s="3">
        <v>46159</v>
      </c>
      <c r="AA87" t="str" cm="1">
        <f t="array" ref="AA87">_xlfn.LET(_xlpm.dates, _xlfn._xlws.FILTER(G87:Z87, G87:Z87&lt;&gt;""),_xlpm.sorted,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"&amp;F87&amp;""": ["&amp;_xlpm.result&amp;"]")</f>
        <v>"Tier 86": [{"start": "2026-05-04", "end": "2026-05-04"},{"start": "2026-05-05", "end": "2026-05-05"},{"start": "2026-05-17", "end": "2026-05-17"}]</v>
      </c>
    </row>
    <row r="88" spans="1:27" x14ac:dyDescent="0.2">
      <c r="A88" s="3">
        <v>46155</v>
      </c>
      <c r="B88" s="2">
        <v>591.1</v>
      </c>
      <c r="C88">
        <f t="shared" si="1"/>
        <v>108</v>
      </c>
      <c r="D88">
        <v>578.05999999999995</v>
      </c>
      <c r="F88">
        <v>87</v>
      </c>
      <c r="G88" s="3" cm="1">
        <f t="array" ref="G88">TRANSPOSE(_xlfn._xlws.FILTER($A$2:$A$2000, $C$2:$C$2000=F88))</f>
        <v>46172</v>
      </c>
      <c r="AA88" t="str" cm="1">
        <f t="array" ref="AA88">_xlfn.LET(_xlpm.dates, _xlfn._xlws.FILTER(G88:Z88, G88:Z88&lt;&gt;""),_xlpm.sorted,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"&amp;F88&amp;""": ["&amp;_xlpm.result&amp;"]")</f>
        <v>"Tier 87": [{"start": "2026-05-30", "end": "2026-05-30"}]</v>
      </c>
    </row>
    <row r="89" spans="1:27" x14ac:dyDescent="0.2">
      <c r="A89" s="3">
        <v>46156</v>
      </c>
      <c r="B89" s="2">
        <v>594.98</v>
      </c>
      <c r="C89">
        <f t="shared" si="1"/>
        <v>115</v>
      </c>
      <c r="D89">
        <v>579.75</v>
      </c>
      <c r="F89">
        <v>88</v>
      </c>
      <c r="G89" s="3" cm="1">
        <f t="array" ref="G89">TRANSPOSE(_xlfn._xlws.FILTER($A$2:$A$2000, $C$2:$C$2000=F89))</f>
        <v>46178</v>
      </c>
      <c r="AA89" t="str" cm="1">
        <f t="array" ref="AA89">_xlfn.LET(_xlpm.dates, _xlfn._xlws.FILTER(G89:Z89, G89:Z89&lt;&gt;""),_xlpm.sorted,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"&amp;F89&amp;""": ["&amp;_xlpm.result&amp;"]")</f>
        <v>"Tier 88": [{"start": "2026-06-05", "end": "2026-06-05"}]</v>
      </c>
    </row>
    <row r="90" spans="1:27" x14ac:dyDescent="0.2">
      <c r="A90" s="3">
        <v>46157</v>
      </c>
      <c r="B90" s="2">
        <v>591.74</v>
      </c>
      <c r="C90">
        <f t="shared" si="1"/>
        <v>109</v>
      </c>
      <c r="D90">
        <v>579.99</v>
      </c>
      <c r="F90">
        <v>89</v>
      </c>
      <c r="G90" s="3" cm="1">
        <f t="array" ref="G90:J90">TRANSPOSE(_xlfn._xlws.FILTER($A$2:$A$2000, $C$2:$C$2000=F90))</f>
        <v>46184</v>
      </c>
      <c r="H90" s="3">
        <v>46185</v>
      </c>
      <c r="I90" s="3">
        <v>46191</v>
      </c>
      <c r="J90" s="3">
        <v>46193</v>
      </c>
      <c r="AA90" t="str" cm="1">
        <f t="array" ref="AA90">_xlfn.LET(_xlpm.dates, _xlfn._xlws.FILTER(G90:Z90, G90:Z90&lt;&gt;""),_xlpm.sorted,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"&amp;F90&amp;""": ["&amp;_xlpm.result&amp;"]")</f>
        <v>"Tier 89": [{"start": "2026-06-11", "end": "2026-06-11"},{"start": "2026-06-12", "end": "2026-06-12"},{"start": "2026-06-18", "end": "2026-06-18"},{"start": "2026-06-20", "end": "2026-06-20"}]</v>
      </c>
    </row>
    <row r="91" spans="1:27" x14ac:dyDescent="0.2">
      <c r="A91" s="3">
        <v>46158</v>
      </c>
      <c r="B91" s="2">
        <v>584.61</v>
      </c>
      <c r="C91">
        <f t="shared" si="1"/>
        <v>96</v>
      </c>
      <c r="D91">
        <v>580.09</v>
      </c>
      <c r="F91">
        <v>90</v>
      </c>
      <c r="G91" s="3" cm="1">
        <f t="array" ref="G91:H91">TRANSPOSE(_xlfn._xlws.FILTER($A$2:$A$2000, $C$2:$C$2000=F91))</f>
        <v>46082</v>
      </c>
      <c r="H91" s="3">
        <v>46153</v>
      </c>
      <c r="AA91" t="str" cm="1">
        <f t="array" ref="AA91">_xlfn.LET(_xlpm.dates, _xlfn._xlws.FILTER(G91:Z91, G91:Z91&lt;&gt;""),_xlpm.sorted,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"&amp;F91&amp;""": ["&amp;_xlpm.result&amp;"]")</f>
        <v>"Tier 90": [{"start": "2026-03-01", "end": "2026-03-01"},{"start": "2026-05-11", "end": "2026-05-11"}]</v>
      </c>
    </row>
    <row r="92" spans="1:27" x14ac:dyDescent="0.2">
      <c r="A92" s="3">
        <v>46159</v>
      </c>
      <c r="B92" s="2">
        <v>577.51</v>
      </c>
      <c r="C92">
        <f t="shared" si="1"/>
        <v>86</v>
      </c>
      <c r="D92">
        <v>580.65</v>
      </c>
      <c r="F92">
        <v>91</v>
      </c>
      <c r="G92" s="3" cm="1">
        <f t="array" ref="G92">TRANSPOSE(_xlfn._xlws.FILTER($A$2:$A$2000, $C$2:$C$2000=F92))</f>
        <v>46196</v>
      </c>
      <c r="AA92" t="str" cm="1">
        <f t="array" ref="AA92">_xlfn.LET(_xlpm.dates, _xlfn._xlws.FILTER(G92:Z92, G92:Z92&lt;&gt;""),_xlpm.sorted,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"&amp;F92&amp;""": ["&amp;_xlpm.result&amp;"]")</f>
        <v>"Tier 91": [{"start": "2026-06-23", "end": "2026-06-23"}]</v>
      </c>
    </row>
    <row r="93" spans="1:27" x14ac:dyDescent="0.2">
      <c r="A93" s="3">
        <v>46160</v>
      </c>
      <c r="B93" s="2">
        <v>573.61</v>
      </c>
      <c r="C93">
        <f t="shared" si="1"/>
        <v>79</v>
      </c>
      <c r="D93">
        <v>581.37</v>
      </c>
      <c r="F93">
        <v>92</v>
      </c>
      <c r="G93" s="3" cm="1">
        <f t="array" ref="G93">TRANSPOSE(_xlfn._xlws.FILTER($A$2:$A$2000, $C$2:$C$2000=F93))</f>
        <v>46207</v>
      </c>
      <c r="AA93" t="str" cm="1">
        <f t="array" ref="AA93">_xlfn.LET(_xlpm.dates, _xlfn._xlws.FILTER(G93:Z93, G93:Z93&lt;&gt;""),_xlpm.sorted,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"&amp;F93&amp;""": ["&amp;_xlpm.result&amp;"]")</f>
        <v>"Tier 92": [{"start": "2026-07-04", "end": "2026-07-04"}]</v>
      </c>
    </row>
    <row r="94" spans="1:27" x14ac:dyDescent="0.2">
      <c r="A94" s="3">
        <v>46161</v>
      </c>
      <c r="B94" s="2">
        <v>585.91999999999996</v>
      </c>
      <c r="C94">
        <f t="shared" si="1"/>
        <v>98</v>
      </c>
      <c r="D94">
        <v>583.22</v>
      </c>
      <c r="F94">
        <v>93</v>
      </c>
      <c r="G94" s="3" cm="1">
        <f t="array" ref="G94">TRANSPOSE(_xlfn._xlws.FILTER($A$2:$A$2000, $C$2:$C$2000=F94))</f>
        <v>46192</v>
      </c>
      <c r="AA94" t="str" cm="1">
        <f t="array" ref="AA94">_xlfn.LET(_xlpm.dates, _xlfn._xlws.FILTER(G94:Z94, G94:Z94&lt;&gt;""),_xlpm.sorted,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"&amp;F94&amp;""": ["&amp;_xlpm.result&amp;"]")</f>
        <v>"Tier 93": [{"start": "2026-06-19", "end": "2026-06-19"}]</v>
      </c>
    </row>
    <row r="95" spans="1:27" x14ac:dyDescent="0.2">
      <c r="A95" s="3">
        <v>46162</v>
      </c>
      <c r="B95" s="2">
        <v>594.98</v>
      </c>
      <c r="C95">
        <f t="shared" si="1"/>
        <v>115</v>
      </c>
      <c r="D95">
        <v>583.97</v>
      </c>
      <c r="F95">
        <v>94</v>
      </c>
      <c r="G95" s="3" cm="1">
        <f t="array" ref="G95:H95">TRANSPOSE(_xlfn._xlws.FILTER($A$2:$A$2000, $C$2:$C$2000=F95))</f>
        <v>46148</v>
      </c>
      <c r="H95" s="3">
        <v>46154</v>
      </c>
      <c r="AA95" t="str" cm="1">
        <f t="array" ref="AA95">_xlfn.LET(_xlpm.dates, _xlfn._xlws.FILTER(G95:Z95, G95:Z95&lt;&gt;""),_xlpm.sorted,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"&amp;F95&amp;""": ["&amp;_xlpm.result&amp;"]")</f>
        <v>"Tier 94": [{"start": "2026-05-06", "end": "2026-05-06"},{"start": "2026-05-12", "end": "2026-05-12"}]</v>
      </c>
    </row>
    <row r="96" spans="1:27" x14ac:dyDescent="0.2">
      <c r="A96" s="3">
        <v>46163</v>
      </c>
      <c r="B96" s="2">
        <v>604.05999999999995</v>
      </c>
      <c r="C96">
        <f t="shared" si="1"/>
        <v>137</v>
      </c>
      <c r="D96">
        <v>584.29999999999995</v>
      </c>
      <c r="F96">
        <v>95</v>
      </c>
      <c r="G96" s="3" cm="1">
        <f t="array" ref="G96">TRANSPOSE(_xlfn._xlws.FILTER($A$2:$A$2000, $C$2:$C$2000=F96))</f>
        <v>46171</v>
      </c>
      <c r="AA96" t="str" cm="1">
        <f t="array" ref="AA96">_xlfn.LET(_xlpm.dates, _xlfn._xlws.FILTER(G96:Z96, G96:Z96&lt;&gt;""),_xlpm.sorted,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"&amp;F96&amp;""": ["&amp;_xlpm.result&amp;"]")</f>
        <v>"Tier 95": [{"start": "2026-05-29", "end": "2026-05-29"}]</v>
      </c>
    </row>
    <row r="97" spans="1:27" x14ac:dyDescent="0.2">
      <c r="A97" s="3">
        <v>46164</v>
      </c>
      <c r="B97" s="2">
        <v>611.16999999999996</v>
      </c>
      <c r="C97">
        <f t="shared" si="1"/>
        <v>156</v>
      </c>
      <c r="D97">
        <v>584.61</v>
      </c>
      <c r="F97">
        <v>96</v>
      </c>
      <c r="G97" s="3" cm="1">
        <f t="array" ref="G97:H97">TRANSPOSE(_xlfn._xlws.FILTER($A$2:$A$2000, $C$2:$C$2000=F97))</f>
        <v>46158</v>
      </c>
      <c r="H97" s="3">
        <v>46202</v>
      </c>
      <c r="AA97" t="str" cm="1">
        <f t="array" ref="AA97">_xlfn.LET(_xlpm.dates, _xlfn._xlws.FILTER(G97:Z97, G97:Z97&lt;&gt;""),_xlpm.sorted,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"&amp;F97&amp;""": ["&amp;_xlpm.result&amp;"]")</f>
        <v>"Tier 96": [{"start": "2026-05-16", "end": "2026-05-16"},{"start": "2026-06-29", "end": "2026-06-29"}]</v>
      </c>
    </row>
    <row r="98" spans="1:27" x14ac:dyDescent="0.2">
      <c r="A98" s="3">
        <v>46165</v>
      </c>
      <c r="B98" s="2">
        <v>608.58000000000004</v>
      </c>
      <c r="C98">
        <f t="shared" si="1"/>
        <v>149</v>
      </c>
      <c r="D98">
        <v>585.58000000000004</v>
      </c>
      <c r="F98">
        <v>97</v>
      </c>
      <c r="G98" s="3" cm="1">
        <f t="array" ref="G98">TRANSPOSE(_xlfn._xlws.FILTER($A$2:$A$2000, $C$2:$C$2000=F98))</f>
        <v>46142</v>
      </c>
      <c r="AA98" t="str" cm="1">
        <f t="array" ref="AA98">_xlfn.LET(_xlpm.dates, _xlfn._xlws.FILTER(G98:Z98, G98:Z98&lt;&gt;""),_xlpm.sorted,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"&amp;F98&amp;""": ["&amp;_xlpm.result&amp;"]")</f>
        <v>"Tier 97": [{"start": "2026-04-30", "end": "2026-04-30"}]</v>
      </c>
    </row>
    <row r="99" spans="1:27" x14ac:dyDescent="0.2">
      <c r="A99" s="3">
        <v>46166</v>
      </c>
      <c r="B99" s="2">
        <v>605.98</v>
      </c>
      <c r="C99">
        <f t="shared" si="1"/>
        <v>143</v>
      </c>
      <c r="D99">
        <v>585.91999999999996</v>
      </c>
      <c r="F99">
        <v>98</v>
      </c>
      <c r="G99" s="3" cm="1">
        <f t="array" ref="G99:H99">TRANSPOSE(_xlfn._xlws.FILTER($A$2:$A$2000, $C$2:$C$2000=F99))</f>
        <v>46138</v>
      </c>
      <c r="H99" s="3">
        <v>46161</v>
      </c>
      <c r="AA99" t="str" cm="1">
        <f t="array" ref="AA99">_xlfn.LET(_xlpm.dates, _xlfn._xlws.FILTER(G99:Z99, G99:Z99&lt;&gt;""),_xlpm.sorted,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"&amp;F99&amp;""": ["&amp;_xlpm.result&amp;"]")</f>
        <v>"Tier 98": [{"start": "2026-04-26", "end": "2026-04-26"},{"start": "2026-05-19", "end": "2026-05-19"}]</v>
      </c>
    </row>
    <row r="100" spans="1:27" x14ac:dyDescent="0.2">
      <c r="A100" s="3">
        <v>46167</v>
      </c>
      <c r="B100" s="2">
        <v>603.4</v>
      </c>
      <c r="C100">
        <f t="shared" si="1"/>
        <v>135</v>
      </c>
      <c r="D100">
        <v>587.1</v>
      </c>
      <c r="F100">
        <v>99</v>
      </c>
      <c r="G100" s="3" cm="1">
        <f t="array" ref="G100">TRANSPOSE(_xlfn._xlws.FILTER($A$2:$A$2000, $C$2:$C$2000=F100))</f>
        <v>46076</v>
      </c>
      <c r="AA100" t="str" cm="1">
        <f t="array" ref="AA100">_xlfn.LET(_xlpm.dates, _xlfn._xlws.FILTER(G100:Z100, G100:Z100&lt;&gt;""),_xlpm.sorted,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"&amp;F100&amp;""": ["&amp;_xlpm.result&amp;"]")</f>
        <v>"Tier 99": [{"start": "2026-02-23", "end": "2026-02-23"}]</v>
      </c>
    </row>
    <row r="101" spans="1:27" x14ac:dyDescent="0.2">
      <c r="A101" s="3">
        <v>46168</v>
      </c>
      <c r="B101" s="2">
        <v>602.76</v>
      </c>
      <c r="C101">
        <f t="shared" si="1"/>
        <v>133</v>
      </c>
      <c r="D101">
        <v>587.20000000000005</v>
      </c>
      <c r="F101">
        <v>100</v>
      </c>
      <c r="G101" s="3" cm="1">
        <f t="array" ref="G101">TRANSPOSE(_xlfn._xlws.FILTER($A$2:$A$2000, $C$2:$C$2000=F101))</f>
        <v>46085</v>
      </c>
      <c r="AA101" t="str" cm="1">
        <f t="array" ref="AA101">_xlfn.LET(_xlpm.dates, _xlfn._xlws.FILTER(G101:Z101, G101:Z101&lt;&gt;""),_xlpm.sorted,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"&amp;F101&amp;""": ["&amp;_xlpm.result&amp;"]")</f>
        <v>"Tier 100": [{"start": "2026-03-04", "end": "2026-03-04"}]</v>
      </c>
    </row>
    <row r="102" spans="1:27" x14ac:dyDescent="0.2">
      <c r="A102" s="3">
        <v>46169</v>
      </c>
      <c r="B102" s="2">
        <v>600.16</v>
      </c>
      <c r="C102">
        <f t="shared" si="1"/>
        <v>125</v>
      </c>
      <c r="D102">
        <v>587.74</v>
      </c>
      <c r="F102">
        <v>101</v>
      </c>
      <c r="G102" s="3" cm="1">
        <f t="array" ref="G102">TRANSPOSE(_xlfn._xlws.FILTER($A$2:$A$2000, $C$2:$C$2000=F102))</f>
        <v>46197</v>
      </c>
      <c r="AA102" t="str" cm="1">
        <f t="array" ref="AA102">_xlfn.LET(_xlpm.dates, _xlfn._xlws.FILTER(G102:Z102, G102:Z102&lt;&gt;""),_xlpm.sorted,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"&amp;F102&amp;""": ["&amp;_xlpm.result&amp;"]")</f>
        <v>"Tier 101": [{"start": "2026-06-24", "end": "2026-06-24"}]</v>
      </c>
    </row>
    <row r="103" spans="1:27" x14ac:dyDescent="0.2">
      <c r="A103" s="3">
        <v>46170</v>
      </c>
      <c r="B103" s="2">
        <v>594.33000000000004</v>
      </c>
      <c r="C103">
        <f t="shared" si="1"/>
        <v>113</v>
      </c>
      <c r="D103">
        <v>587.87</v>
      </c>
      <c r="F103">
        <v>102</v>
      </c>
      <c r="G103" s="3" cm="1">
        <f t="array" ref="G103">TRANSPOSE(_xlfn._xlws.FILTER($A$2:$A$2000, $C$2:$C$2000=F103))</f>
        <v>46203</v>
      </c>
      <c r="AA103" t="str" cm="1">
        <f t="array" ref="AA103">_xlfn.LET(_xlpm.dates, _xlfn._xlws.FILTER(G103:Z103, G103:Z103&lt;&gt;""),_xlpm.sorted,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"&amp;F103&amp;""": ["&amp;_xlpm.result&amp;"]")</f>
        <v>"Tier 102": [{"start": "2026-06-30", "end": "2026-06-30"}]</v>
      </c>
    </row>
    <row r="104" spans="1:27" x14ac:dyDescent="0.2">
      <c r="A104" s="3">
        <v>46171</v>
      </c>
      <c r="B104" s="2">
        <v>584.29999999999995</v>
      </c>
      <c r="C104">
        <f t="shared" si="1"/>
        <v>95</v>
      </c>
      <c r="D104">
        <v>588.5</v>
      </c>
      <c r="F104">
        <v>103</v>
      </c>
      <c r="G104" s="3" cm="1">
        <f t="array" ref="G104">TRANSPOSE(_xlfn._xlws.FILTER($A$2:$A$2000, $C$2:$C$2000=F104))</f>
        <v>46152</v>
      </c>
      <c r="AA104" t="str" cm="1">
        <f t="array" ref="AA104">_xlfn.LET(_xlpm.dates, _xlfn._xlws.FILTER(G104:Z104, G104:Z104&lt;&gt;""),_xlpm.sorted,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"&amp;F104&amp;""": ["&amp;_xlpm.result&amp;"]")</f>
        <v>"Tier 103": [{"start": "2026-05-10", "end": "2026-05-10"}]</v>
      </c>
    </row>
    <row r="105" spans="1:27" x14ac:dyDescent="0.2">
      <c r="A105" s="3">
        <v>46172</v>
      </c>
      <c r="B105" s="2">
        <v>578.05999999999995</v>
      </c>
      <c r="C105">
        <f t="shared" si="1"/>
        <v>87</v>
      </c>
      <c r="D105">
        <v>590.45000000000005</v>
      </c>
      <c r="F105">
        <v>104</v>
      </c>
      <c r="G105" s="3" cm="1">
        <f t="array" ref="G105">TRANSPOSE(_xlfn._xlws.FILTER($A$2:$A$2000, $C$2:$C$2000=F105))</f>
        <v>46204</v>
      </c>
      <c r="AA105" t="str" cm="1">
        <f t="array" ref="AA105">_xlfn.LET(_xlpm.dates, _xlfn._xlws.FILTER(G105:Z105, G105:Z105&lt;&gt;""),_xlpm.sorted,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"&amp;F105&amp;""": ["&amp;_xlpm.result&amp;"]")</f>
        <v>"Tier 104": [{"start": "2026-07-01", "end": "2026-07-01"}]</v>
      </c>
    </row>
    <row r="106" spans="1:27" x14ac:dyDescent="0.2">
      <c r="A106" s="3">
        <v>46173</v>
      </c>
      <c r="B106" s="1">
        <v>574.21</v>
      </c>
      <c r="C106">
        <f t="shared" si="1"/>
        <v>80</v>
      </c>
      <c r="D106">
        <v>590.64</v>
      </c>
      <c r="F106">
        <v>105</v>
      </c>
      <c r="G106" s="3" cm="1">
        <f t="array" ref="G106">TRANSPOSE(_xlfn._xlws.FILTER($A$2:$A$2000, $C$2:$C$2000=F106))</f>
        <v>46295</v>
      </c>
      <c r="AA106" t="str" cm="1">
        <f t="array" ref="AA106">_xlfn.LET(_xlpm.dates, _xlfn._xlws.FILTER(G106:Z106, G106:Z106&lt;&gt;""),_xlpm.sorted,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"&amp;F106&amp;""": ["&amp;_xlpm.result&amp;"]")</f>
        <v>"Tier 105": [{"start": "2026-09-30", "end": "2026-09-30"}]</v>
      </c>
    </row>
    <row r="107" spans="1:27" x14ac:dyDescent="0.2">
      <c r="A107" s="3">
        <v>46174</v>
      </c>
      <c r="B107" s="2">
        <v>573.57000000000005</v>
      </c>
      <c r="C107">
        <f t="shared" si="1"/>
        <v>78</v>
      </c>
      <c r="D107">
        <v>590.76</v>
      </c>
      <c r="F107">
        <v>106</v>
      </c>
      <c r="G107" s="3" cm="1">
        <f t="array" ref="G107">TRANSPOSE(_xlfn._xlws.FILTER($A$2:$A$2000, $C$2:$C$2000=F107))</f>
        <v>46144</v>
      </c>
      <c r="AA107" t="str" cm="1">
        <f t="array" ref="AA107">_xlfn.LET(_xlpm.dates, _xlfn._xlws.FILTER(G107:Z107, G107:Z107&lt;&gt;""),_xlpm.sorted,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"&amp;F107&amp;""": ["&amp;_xlpm.result&amp;"]")</f>
        <v>"Tier 106": [{"start": "2026-05-02", "end": "2026-05-02"}]</v>
      </c>
    </row>
    <row r="108" spans="1:27" x14ac:dyDescent="0.2">
      <c r="A108" s="3">
        <v>46175</v>
      </c>
      <c r="B108" s="2">
        <v>573.57000000000005</v>
      </c>
      <c r="C108">
        <f t="shared" si="1"/>
        <v>78</v>
      </c>
      <c r="D108">
        <v>590.92999999999995</v>
      </c>
      <c r="F108">
        <v>107</v>
      </c>
      <c r="G108" s="3" cm="1">
        <f t="array" ref="G108">TRANSPOSE(_xlfn._xlws.FILTER($A$2:$A$2000, $C$2:$C$2000=F108))</f>
        <v>46143</v>
      </c>
      <c r="AA108" t="str" cm="1">
        <f t="array" ref="AA108">_xlfn.LET(_xlpm.dates, _xlfn._xlws.FILTER(G108:Z108, G108:Z108&lt;&gt;""),_xlpm.sorted,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"&amp;F108&amp;""": ["&amp;_xlpm.result&amp;"]")</f>
        <v>"Tier 107": [{"start": "2026-05-01", "end": "2026-05-01"}]</v>
      </c>
    </row>
    <row r="109" spans="1:27" x14ac:dyDescent="0.2">
      <c r="A109" s="3">
        <v>46176</v>
      </c>
      <c r="B109" s="2">
        <v>573.57000000000005</v>
      </c>
      <c r="C109">
        <f t="shared" si="1"/>
        <v>78</v>
      </c>
      <c r="D109">
        <v>591.1</v>
      </c>
      <c r="F109">
        <v>108</v>
      </c>
      <c r="G109" s="3" cm="1">
        <f t="array" ref="G109:H109">TRANSPOSE(_xlfn._xlws.FILTER($A$2:$A$2000, $C$2:$C$2000=F109))</f>
        <v>46155</v>
      </c>
      <c r="H109" s="3">
        <v>46201</v>
      </c>
      <c r="AA109" t="str" cm="1">
        <f t="array" ref="AA109">_xlfn.LET(_xlpm.dates, _xlfn._xlws.FILTER(G109:Z109, G109:Z109&lt;&gt;""),_xlpm.sorted,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"&amp;F109&amp;""": ["&amp;_xlpm.result&amp;"]")</f>
        <v>"Tier 108": [{"start": "2026-05-13", "end": "2026-05-13"},{"start": "2026-06-28", "end": "2026-06-28"}]</v>
      </c>
    </row>
    <row r="110" spans="1:27" x14ac:dyDescent="0.2">
      <c r="A110" s="3">
        <v>46177</v>
      </c>
      <c r="B110" s="2">
        <v>576.79999999999995</v>
      </c>
      <c r="C110">
        <f t="shared" si="1"/>
        <v>83</v>
      </c>
      <c r="D110">
        <v>591.74</v>
      </c>
      <c r="F110">
        <v>109</v>
      </c>
      <c r="G110" s="3" cm="1">
        <f t="array" ref="G110">TRANSPOSE(_xlfn._xlws.FILTER($A$2:$A$2000, $C$2:$C$2000=F110))</f>
        <v>46157</v>
      </c>
      <c r="AA110" t="str" cm="1">
        <f t="array" ref="AA110">_xlfn.LET(_xlpm.dates, _xlfn._xlws.FILTER(G110:Z110, G110:Z110&lt;&gt;""),_xlpm.sorted,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"&amp;F110&amp;""": ["&amp;_xlpm.result&amp;"]")</f>
        <v>"Tier 109": [{"start": "2026-05-15", "end": "2026-05-15"}]</v>
      </c>
    </row>
    <row r="111" spans="1:27" x14ac:dyDescent="0.2">
      <c r="A111" s="3">
        <v>46178</v>
      </c>
      <c r="B111" s="2">
        <v>579.75</v>
      </c>
      <c r="C111">
        <f t="shared" si="1"/>
        <v>88</v>
      </c>
      <c r="D111">
        <v>592.33000000000004</v>
      </c>
      <c r="F111">
        <v>110</v>
      </c>
      <c r="G111" s="3" cm="1">
        <f t="array" ref="G111">TRANSPOSE(_xlfn._xlws.FILTER($A$2:$A$2000, $C$2:$C$2000=F111))</f>
        <v>46077</v>
      </c>
      <c r="AA111" t="str" cm="1">
        <f t="array" ref="AA111">_xlfn.LET(_xlpm.dates, _xlfn._xlws.FILTER(G111:Z111, G111:Z111&lt;&gt;""),_xlpm.sorted,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"&amp;F111&amp;""": ["&amp;_xlpm.result&amp;"]")</f>
        <v>"Tier 110": [{"start": "2026-02-24", "end": "2026-02-24"}]</v>
      </c>
    </row>
    <row r="112" spans="1:27" x14ac:dyDescent="0.2">
      <c r="A112" s="3">
        <v>46179</v>
      </c>
      <c r="B112" s="2">
        <v>573.57000000000005</v>
      </c>
      <c r="C112">
        <f t="shared" si="1"/>
        <v>78</v>
      </c>
      <c r="D112">
        <v>592.4</v>
      </c>
      <c r="F112">
        <v>111</v>
      </c>
      <c r="G112" s="3" cm="1">
        <f t="array" ref="G112">TRANSPOSE(_xlfn._xlws.FILTER($A$2:$A$2000, $C$2:$C$2000=F112))</f>
        <v>46206</v>
      </c>
      <c r="AA112" t="str" cm="1">
        <f t="array" ref="AA112">_xlfn.LET(_xlpm.dates, _xlfn._xlws.FILTER(G112:Z112, G112:Z112&lt;&gt;""),_xlpm.sorted,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"&amp;F112&amp;""": ["&amp;_xlpm.result&amp;"]")</f>
        <v>"Tier 111": [{"start": "2026-07-03", "end": "2026-07-03"}]</v>
      </c>
    </row>
    <row r="113" spans="1:27" x14ac:dyDescent="0.2">
      <c r="A113" s="3">
        <v>46180</v>
      </c>
      <c r="B113" s="2">
        <v>573.27</v>
      </c>
      <c r="C113">
        <f t="shared" si="1"/>
        <v>77</v>
      </c>
      <c r="D113">
        <v>593.69000000000005</v>
      </c>
      <c r="F113">
        <v>112</v>
      </c>
      <c r="G113" s="3" cm="1">
        <f t="array" ref="G113:H113">TRANSPOSE(_xlfn._xlws.FILTER($A$2:$A$2000, $C$2:$C$2000=F113))</f>
        <v>46105</v>
      </c>
      <c r="H113" s="3">
        <v>46205</v>
      </c>
      <c r="AA113" t="str" cm="1">
        <f t="array" ref="AA113">_xlfn.LET(_xlpm.dates, _xlfn._xlws.FILTER(G113:Z113, G113:Z113&lt;&gt;""),_xlpm.sorted,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"&amp;F113&amp;""": ["&amp;_xlpm.result&amp;"]")</f>
        <v>"Tier 112": [{"start": "2026-03-24", "end": "2026-03-24"},{"start": "2026-07-02", "end": "2026-07-02"}]</v>
      </c>
    </row>
    <row r="114" spans="1:27" x14ac:dyDescent="0.2">
      <c r="A114" s="3">
        <v>46181</v>
      </c>
      <c r="B114" s="2">
        <v>567.13</v>
      </c>
      <c r="C114">
        <f t="shared" si="1"/>
        <v>73</v>
      </c>
      <c r="D114">
        <v>594.33000000000004</v>
      </c>
      <c r="F114">
        <v>113</v>
      </c>
      <c r="G114" s="3" cm="1">
        <f t="array" ref="G114">TRANSPOSE(_xlfn._xlws.FILTER($A$2:$A$2000, $C$2:$C$2000=F114))</f>
        <v>46170</v>
      </c>
      <c r="AA114" t="str" cm="1">
        <f t="array" ref="AA114">_xlfn.LET(_xlpm.dates, _xlfn._xlws.FILTER(G114:Z114, G114:Z114&lt;&gt;""),_xlpm.sorted,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"&amp;F114&amp;""": ["&amp;_xlpm.result&amp;"]")</f>
        <v>"Tier 113": [{"start": "2026-05-28", "end": "2026-05-28"}]</v>
      </c>
    </row>
    <row r="115" spans="1:27" x14ac:dyDescent="0.2">
      <c r="A115" s="3">
        <v>46182</v>
      </c>
      <c r="B115" s="2">
        <v>570.35</v>
      </c>
      <c r="C115">
        <f t="shared" si="1"/>
        <v>74</v>
      </c>
      <c r="D115">
        <v>594.55999999999995</v>
      </c>
      <c r="F115">
        <v>114</v>
      </c>
      <c r="G115" s="3" cm="1">
        <f t="array" ref="G115:H115">TRANSPOSE(_xlfn._xlws.FILTER($A$2:$A$2000, $C$2:$C$2000=F115))</f>
        <v>46321</v>
      </c>
      <c r="H115" s="3">
        <v>46328</v>
      </c>
      <c r="AA115" t="str" cm="1">
        <f t="array" ref="AA115">_xlfn.LET(_xlpm.dates, _xlfn._xlws.FILTER(G115:Z115, G115:Z115&lt;&gt;""),_xlpm.sorted,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"&amp;F115&amp;""": ["&amp;_xlpm.result&amp;"]")</f>
        <v>"Tier 114": [{"start": "2026-10-26", "end": "2026-10-26"},{"start": "2026-11-02", "end": "2026-11-02"}]</v>
      </c>
    </row>
    <row r="116" spans="1:27" x14ac:dyDescent="0.2">
      <c r="A116" s="3">
        <v>46183</v>
      </c>
      <c r="B116" s="2">
        <v>576.79999999999995</v>
      </c>
      <c r="C116">
        <f t="shared" si="1"/>
        <v>83</v>
      </c>
      <c r="D116">
        <v>594.98</v>
      </c>
      <c r="F116">
        <v>115</v>
      </c>
      <c r="G116" s="3" cm="1">
        <f t="array" ref="G116:I116">TRANSPOSE(_xlfn._xlws.FILTER($A$2:$A$2000, $C$2:$C$2000=F116))</f>
        <v>46097</v>
      </c>
      <c r="H116" s="3">
        <v>46156</v>
      </c>
      <c r="I116" s="3">
        <v>46162</v>
      </c>
      <c r="AA116" t="str" cm="1">
        <f t="array" ref="AA116">_xlfn.LET(_xlpm.dates, _xlfn._xlws.FILTER(G116:Z116, G116:Z116&lt;&gt;""),_xlpm.sorted,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"&amp;F116&amp;""": ["&amp;_xlpm.result&amp;"]")</f>
        <v>"Tier 115": [{"start": "2026-03-16", "end": "2026-03-16"},{"start": "2026-05-14", "end": "2026-05-14"},{"start": "2026-05-20", "end": "2026-05-20"}]</v>
      </c>
    </row>
    <row r="117" spans="1:27" x14ac:dyDescent="0.2">
      <c r="A117" s="3">
        <v>46184</v>
      </c>
      <c r="B117" s="2">
        <v>579.99</v>
      </c>
      <c r="C117">
        <f t="shared" si="1"/>
        <v>89</v>
      </c>
      <c r="D117">
        <v>595.59</v>
      </c>
      <c r="F117">
        <v>116</v>
      </c>
      <c r="G117" s="3" cm="1">
        <f t="array" ref="G117">TRANSPOSE(_xlfn._xlws.FILTER($A$2:$A$2000, $C$2:$C$2000=F117))</f>
        <v>46075</v>
      </c>
      <c r="AA117" t="str" cm="1">
        <f t="array" ref="AA117">_xlfn.LET(_xlpm.dates, _xlfn._xlws.FILTER(G117:Z117, G117:Z117&lt;&gt;""),_xlpm.sorted,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"&amp;F117&amp;""": ["&amp;_xlpm.result&amp;"]")</f>
        <v>"Tier 116": [{"start": "2026-02-22", "end": "2026-02-22"}]</v>
      </c>
    </row>
    <row r="118" spans="1:27" x14ac:dyDescent="0.2">
      <c r="A118" s="3">
        <v>46185</v>
      </c>
      <c r="B118" s="2">
        <v>579.99</v>
      </c>
      <c r="C118">
        <f t="shared" si="1"/>
        <v>89</v>
      </c>
      <c r="D118">
        <v>595.62</v>
      </c>
      <c r="F118">
        <v>117</v>
      </c>
      <c r="G118" s="3" cm="1">
        <f t="array" ref="G118:I118">TRANSPOSE(_xlfn._xlws.FILTER($A$2:$A$2000, $C$2:$C$2000=F118))</f>
        <v>46098</v>
      </c>
      <c r="H118" s="3">
        <v>46104</v>
      </c>
      <c r="I118" s="3">
        <v>46125</v>
      </c>
      <c r="AA118" t="str" cm="1">
        <f t="array" ref="AA118">_xlfn.LET(_xlpm.dates, _xlfn._xlws.FILTER(G118:Z118, G118:Z118&lt;&gt;""),_xlpm.sorted,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"&amp;F118&amp;""": ["&amp;_xlpm.result&amp;"]")</f>
        <v>"Tier 117": [{"start": "2026-03-17", "end": "2026-03-17"},{"start": "2026-03-23", "end": "2026-03-23"},{"start": "2026-04-13", "end": "2026-04-13"}]</v>
      </c>
    </row>
    <row r="119" spans="1:27" x14ac:dyDescent="0.2">
      <c r="A119" s="3">
        <v>46186</v>
      </c>
      <c r="B119" s="2">
        <v>576.79999999999995</v>
      </c>
      <c r="C119">
        <f t="shared" si="1"/>
        <v>83</v>
      </c>
      <c r="D119">
        <v>596.52</v>
      </c>
      <c r="F119">
        <v>118</v>
      </c>
      <c r="G119" s="3" cm="1">
        <f t="array" ref="G119">TRANSPOSE(_xlfn._xlws.FILTER($A$2:$A$2000, $C$2:$C$2000=F119))</f>
        <v>46327</v>
      </c>
      <c r="AA119" t="str" cm="1">
        <f t="array" ref="AA119">_xlfn.LET(_xlpm.dates, _xlfn._xlws.FILTER(G119:Z119, G119:Z119&lt;&gt;""),_xlpm.sorted,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"&amp;F119&amp;""": ["&amp;_xlpm.result&amp;"]")</f>
        <v>"Tier 118": [{"start": "2026-11-01", "end": "2026-11-01"}]</v>
      </c>
    </row>
    <row r="120" spans="1:27" x14ac:dyDescent="0.2">
      <c r="A120" s="3">
        <v>46187</v>
      </c>
      <c r="B120" s="2">
        <v>570.35</v>
      </c>
      <c r="C120">
        <f t="shared" si="1"/>
        <v>74</v>
      </c>
      <c r="D120">
        <v>596.92999999999995</v>
      </c>
      <c r="F120">
        <v>119</v>
      </c>
      <c r="G120" s="3" cm="1">
        <f t="array" ref="G120:H120">TRANSPOSE(_xlfn._xlws.FILTER($A$2:$A$2000, $C$2:$C$2000=F120))</f>
        <v>46099</v>
      </c>
      <c r="H120" s="3">
        <v>46151</v>
      </c>
      <c r="AA120" t="str" cm="1">
        <f t="array" ref="AA120">_xlfn.LET(_xlpm.dates, _xlfn._xlws.FILTER(G120:Z120, G120:Z120&lt;&gt;""),_xlpm.sorted,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"&amp;F120&amp;""": ["&amp;_xlpm.result&amp;"]")</f>
        <v>"Tier 119": [{"start": "2026-03-18", "end": "2026-03-18"},{"start": "2026-05-09", "end": "2026-05-09"}]</v>
      </c>
    </row>
    <row r="121" spans="1:27" x14ac:dyDescent="0.2">
      <c r="A121" s="3">
        <v>46188</v>
      </c>
      <c r="B121" s="2">
        <v>567.13</v>
      </c>
      <c r="C121">
        <f t="shared" si="1"/>
        <v>73</v>
      </c>
      <c r="D121">
        <v>597.55999999999995</v>
      </c>
      <c r="F121">
        <v>120</v>
      </c>
      <c r="G121" s="3" cm="1">
        <f t="array" ref="G121">TRANSPOSE(_xlfn._xlws.FILTER($A$2:$A$2000, $C$2:$C$2000=F121))</f>
        <v>46081</v>
      </c>
      <c r="AA121" t="str" cm="1">
        <f t="array" ref="AA121">_xlfn.LET(_xlpm.dates, _xlfn._xlws.FILTER(G121:Z121, G121:Z121&lt;&gt;""),_xlpm.sorted,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"&amp;F121&amp;""": ["&amp;_xlpm.result&amp;"]")</f>
        <v>"Tier 120": [{"start": "2026-02-28", "end": "2026-02-28"}]</v>
      </c>
    </row>
    <row r="122" spans="1:27" x14ac:dyDescent="0.2">
      <c r="A122" s="3">
        <v>46189</v>
      </c>
      <c r="B122" s="2">
        <v>570.35</v>
      </c>
      <c r="C122">
        <f t="shared" si="1"/>
        <v>74</v>
      </c>
      <c r="D122">
        <v>597.57000000000005</v>
      </c>
      <c r="F122">
        <v>121</v>
      </c>
      <c r="G122" s="3" cm="1">
        <f t="array" ref="G122">TRANSPOSE(_xlfn._xlws.FILTER($A$2:$A$2000, $C$2:$C$2000=F122))</f>
        <v>46126</v>
      </c>
      <c r="AA122" t="str" cm="1">
        <f t="array" ref="AA122">_xlfn.LET(_xlpm.dates, _xlfn._xlws.FILTER(G122:Z122, G122:Z122&lt;&gt;""),_xlpm.sorted,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"&amp;F122&amp;""": ["&amp;_xlpm.result&amp;"]")</f>
        <v>"Tier 121": [{"start": "2026-04-14", "end": "2026-04-14"}]</v>
      </c>
    </row>
    <row r="123" spans="1:27" x14ac:dyDescent="0.2">
      <c r="A123" s="3">
        <v>46190</v>
      </c>
      <c r="B123" s="2">
        <v>576.79999999999995</v>
      </c>
      <c r="C123">
        <f t="shared" si="1"/>
        <v>83</v>
      </c>
      <c r="D123">
        <v>598.22</v>
      </c>
      <c r="F123">
        <v>122</v>
      </c>
      <c r="G123" s="3" cm="1">
        <f t="array" ref="G123:H123">TRANSPOSE(_xlfn._xlws.FILTER($A$2:$A$2000, $C$2:$C$2000=F123))</f>
        <v>46137</v>
      </c>
      <c r="H123" s="3">
        <v>46200</v>
      </c>
      <c r="AA123" t="str" cm="1">
        <f t="array" ref="AA123">_xlfn.LET(_xlpm.dates, _xlfn._xlws.FILTER(G123:Z123, G123:Z123&lt;&gt;""),_xlpm.sorted,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"&amp;F123&amp;""": ["&amp;_xlpm.result&amp;"]")</f>
        <v>"Tier 122": [{"start": "2026-04-25", "end": "2026-04-25"},{"start": "2026-06-27", "end": "2026-06-27"}]</v>
      </c>
    </row>
    <row r="124" spans="1:27" x14ac:dyDescent="0.2">
      <c r="A124" s="3">
        <v>46191</v>
      </c>
      <c r="B124" s="2">
        <v>579.99</v>
      </c>
      <c r="C124">
        <f t="shared" si="1"/>
        <v>89</v>
      </c>
      <c r="D124">
        <v>598.86</v>
      </c>
      <c r="F124">
        <v>123</v>
      </c>
      <c r="G124" s="3" cm="1">
        <f t="array" ref="G124:J124">TRANSPOSE(_xlfn._xlws.FILTER($A$2:$A$2000, $C$2:$C$2000=F124))</f>
        <v>46103</v>
      </c>
      <c r="H124" s="3">
        <v>46106</v>
      </c>
      <c r="I124" s="3">
        <v>46132</v>
      </c>
      <c r="J124" s="3">
        <v>46149</v>
      </c>
      <c r="AA124" t="str" cm="1">
        <f t="array" ref="AA124">_xlfn.LET(_xlpm.dates, _xlfn._xlws.FILTER(G124:Z124, G124:Z124&lt;&gt;""),_xlpm.sorted,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"&amp;F124&amp;""": ["&amp;_xlpm.result&amp;"]")</f>
        <v>"Tier 123": [{"start": "2026-03-22", "end": "2026-03-22"},{"start": "2026-03-25", "end": "2026-03-25"},{"start": "2026-04-20", "end": "2026-04-20"},{"start": "2026-05-07", "end": "2026-05-07"}]</v>
      </c>
    </row>
    <row r="125" spans="1:27" x14ac:dyDescent="0.2">
      <c r="A125" s="3">
        <v>46192</v>
      </c>
      <c r="B125" s="2">
        <v>583.22</v>
      </c>
      <c r="C125">
        <f t="shared" si="1"/>
        <v>93</v>
      </c>
      <c r="D125">
        <v>599.79</v>
      </c>
      <c r="F125">
        <v>124</v>
      </c>
      <c r="G125" s="3" cm="1">
        <f t="array" ref="G125:H125">TRANSPOSE(_xlfn._xlws.FILTER($A$2:$A$2000, $C$2:$C$2000=F125))</f>
        <v>46300</v>
      </c>
      <c r="H125" s="3">
        <v>46329</v>
      </c>
      <c r="AA125" t="str" cm="1">
        <f t="array" ref="AA125">_xlfn.LET(_xlpm.dates, _xlfn._xlws.FILTER(G125:Z125, G125:Z125&lt;&gt;""),_xlpm.sorted,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"&amp;F125&amp;""": ["&amp;_xlpm.result&amp;"]")</f>
        <v>"Tier 124": [{"start": "2026-10-05", "end": "2026-10-05"},{"start": "2026-11-03", "end": "2026-11-03"}]</v>
      </c>
    </row>
    <row r="126" spans="1:27" x14ac:dyDescent="0.2">
      <c r="A126" s="3">
        <v>46193</v>
      </c>
      <c r="B126" s="2">
        <v>579.99</v>
      </c>
      <c r="C126">
        <f t="shared" si="1"/>
        <v>89</v>
      </c>
      <c r="D126">
        <v>600.16</v>
      </c>
      <c r="F126">
        <v>125</v>
      </c>
      <c r="G126" s="3" cm="1">
        <f t="array" ref="G126:H126">TRANSPOSE(_xlfn._xlws.FILTER($A$2:$A$2000, $C$2:$C$2000=F126))</f>
        <v>46086</v>
      </c>
      <c r="H126" s="3">
        <v>46169</v>
      </c>
      <c r="AA126" t="str" cm="1">
        <f t="array" ref="AA126">_xlfn.LET(_xlpm.dates, _xlfn._xlws.FILTER(G126:Z126, G126:Z126&lt;&gt;""),_xlpm.sorted,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"&amp;F126&amp;""": ["&amp;_xlpm.result&amp;"]")</f>
        <v>"Tier 125": [{"start": "2026-03-05", "end": "2026-03-05"},{"start": "2026-05-27", "end": "2026-05-27"}]</v>
      </c>
    </row>
    <row r="127" spans="1:27" x14ac:dyDescent="0.2">
      <c r="A127" s="3">
        <v>46194</v>
      </c>
      <c r="B127" s="2">
        <v>573.57000000000005</v>
      </c>
      <c r="C127">
        <f t="shared" si="1"/>
        <v>78</v>
      </c>
      <c r="D127">
        <v>600.44000000000005</v>
      </c>
      <c r="F127">
        <v>126</v>
      </c>
      <c r="G127" s="3" cm="1">
        <f t="array" ref="G127">TRANSPOSE(_xlfn._xlws.FILTER($A$2:$A$2000, $C$2:$C$2000=F127))</f>
        <v>46296</v>
      </c>
      <c r="AA127" t="str" cm="1">
        <f t="array" ref="AA127">_xlfn.LET(_xlpm.dates, _xlfn._xlws.FILTER(G127:Z127, G127:Z127&lt;&gt;""),_xlpm.sorted,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"&amp;F127&amp;""": ["&amp;_xlpm.result&amp;"]")</f>
        <v>"Tier 126": [{"start": "2026-10-01", "end": "2026-10-01"}]</v>
      </c>
    </row>
    <row r="128" spans="1:27" x14ac:dyDescent="0.2">
      <c r="A128" s="3">
        <v>46195</v>
      </c>
      <c r="B128" s="2">
        <v>576.79999999999995</v>
      </c>
      <c r="C128">
        <f t="shared" si="1"/>
        <v>83</v>
      </c>
      <c r="D128">
        <v>600.80999999999995</v>
      </c>
      <c r="F128">
        <v>127</v>
      </c>
      <c r="G128" s="3" cm="1">
        <f t="array" ref="G128:J128">TRANSPOSE(_xlfn._xlws.FILTER($A$2:$A$2000, $C$2:$C$2000=F128))</f>
        <v>46096</v>
      </c>
      <c r="H128" s="3">
        <v>46100</v>
      </c>
      <c r="I128" s="3">
        <v>46124</v>
      </c>
      <c r="J128" s="3">
        <v>46133</v>
      </c>
      <c r="AA128" t="str" cm="1">
        <f t="array" ref="AA128">_xlfn.LET(_xlpm.dates, _xlfn._xlws.FILTER(G128:Z128, G128:Z128&lt;&gt;""),_xlpm.sorted,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"&amp;F128&amp;""": ["&amp;_xlpm.result&amp;"]")</f>
        <v>"Tier 127": [{"start": "2026-03-15", "end": "2026-03-15"},{"start": "2026-03-19", "end": "2026-03-19"},{"start": "2026-04-12", "end": "2026-04-12"},{"start": "2026-04-21", "end": "2026-04-21"}]</v>
      </c>
    </row>
    <row r="129" spans="1:27" x14ac:dyDescent="0.2">
      <c r="A129" s="3">
        <v>46196</v>
      </c>
      <c r="B129" s="2">
        <v>580.65</v>
      </c>
      <c r="C129">
        <f t="shared" si="1"/>
        <v>91</v>
      </c>
      <c r="D129">
        <v>600.82000000000005</v>
      </c>
      <c r="F129">
        <v>128</v>
      </c>
      <c r="G129" s="3" cm="1">
        <f t="array" ref="G129">TRANSPOSE(_xlfn._xlws.FILTER($A$2:$A$2000, $C$2:$C$2000=F129))</f>
        <v>46078</v>
      </c>
      <c r="AA129" t="str" cm="1">
        <f t="array" ref="AA129">_xlfn.LET(_xlpm.dates, _xlfn._xlws.FILTER(G129:Z129, G129:Z129&lt;&gt;""),_xlpm.sorted,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"&amp;F129&amp;""": ["&amp;_xlpm.result&amp;"]")</f>
        <v>"Tier 128": [{"start": "2026-02-25", "end": "2026-02-25"}]</v>
      </c>
    </row>
    <row r="130" spans="1:27" x14ac:dyDescent="0.2">
      <c r="A130" s="3">
        <v>46197</v>
      </c>
      <c r="B130" s="2">
        <v>587.74</v>
      </c>
      <c r="C130">
        <f t="shared" si="1"/>
        <v>101</v>
      </c>
      <c r="D130">
        <v>601.36</v>
      </c>
      <c r="F130">
        <v>129</v>
      </c>
      <c r="G130" s="3" cm="1">
        <f t="array" ref="G130">TRANSPOSE(_xlfn._xlws.FILTER($A$2:$A$2000, $C$2:$C$2000=F130))</f>
        <v>46320</v>
      </c>
      <c r="AA130" t="str" cm="1">
        <f t="array" ref="AA130">_xlfn.LET(_xlpm.dates, _xlfn._xlws.FILTER(G130:Z130, G130:Z130&lt;&gt;""),_xlpm.sorted,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"&amp;F130&amp;""": ["&amp;_xlpm.result&amp;"]")</f>
        <v>"Tier 129": [{"start": "2026-10-25", "end": "2026-10-25"}]</v>
      </c>
    </row>
    <row r="131" spans="1:27" x14ac:dyDescent="0.2">
      <c r="A131" s="3">
        <v>46198</v>
      </c>
      <c r="B131" s="2">
        <v>601.62</v>
      </c>
      <c r="C131">
        <f t="shared" ref="C131:C194" si="2">MATCH(B131, $D$1:$D$213, 0)-1</f>
        <v>131</v>
      </c>
      <c r="D131">
        <v>601.45000000000005</v>
      </c>
      <c r="F131">
        <v>130</v>
      </c>
      <c r="G131" s="3" cm="1">
        <f t="array" ref="G131">TRANSPOSE(_xlfn._xlws.FILTER($A$2:$A$2000, $C$2:$C$2000=F131))</f>
        <v>46199</v>
      </c>
      <c r="AA131" t="str" cm="1">
        <f t="array" ref="AA131">_xlfn.LET(_xlpm.dates, _xlfn._xlws.FILTER(G131:Z131, G131:Z131&lt;&gt;""),_xlpm.sorted,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"&amp;F131&amp;""": ["&amp;_xlpm.result&amp;"]")</f>
        <v>"Tier 130": [{"start": "2026-06-26", "end": "2026-06-26"}]</v>
      </c>
    </row>
    <row r="132" spans="1:27" x14ac:dyDescent="0.2">
      <c r="A132" s="3">
        <v>46199</v>
      </c>
      <c r="B132" s="2">
        <v>601.45000000000005</v>
      </c>
      <c r="C132">
        <f t="shared" si="2"/>
        <v>130</v>
      </c>
      <c r="D132">
        <v>601.62</v>
      </c>
      <c r="F132">
        <v>131</v>
      </c>
      <c r="G132" s="3" cm="1">
        <f t="array" ref="G132">TRANSPOSE(_xlfn._xlws.FILTER($A$2:$A$2000, $C$2:$C$2000=F132))</f>
        <v>46198</v>
      </c>
      <c r="AA132" t="str" cm="1">
        <f t="array" ref="AA132">_xlfn.LET(_xlpm.dates, _xlfn._xlws.FILTER(G132:Z132, G132:Z132&lt;&gt;""),_xlpm.sorted,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"&amp;F132&amp;""": ["&amp;_xlpm.result&amp;"]")</f>
        <v>"Tier 131": [{"start": "2026-06-25", "end": "2026-06-25"}]</v>
      </c>
    </row>
    <row r="133" spans="1:27" x14ac:dyDescent="0.2">
      <c r="A133" s="3">
        <v>46200</v>
      </c>
      <c r="B133" s="2">
        <v>598.22</v>
      </c>
      <c r="C133">
        <f t="shared" si="2"/>
        <v>122</v>
      </c>
      <c r="D133">
        <v>602.1</v>
      </c>
      <c r="F133">
        <v>132</v>
      </c>
      <c r="G133" s="3" cm="1">
        <f t="array" ref="G133">TRANSPOSE(_xlfn._xlws.FILTER($A$2:$A$2000, $C$2:$C$2000=F133))</f>
        <v>46102</v>
      </c>
      <c r="AA133" t="str" cm="1">
        <f t="array" ref="AA133">_xlfn.LET(_xlpm.dates, _xlfn._xlws.FILTER(G133:Z133, G133:Z133&lt;&gt;""),_xlpm.sorted,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"&amp;F133&amp;""": ["&amp;_xlpm.result&amp;"]")</f>
        <v>"Tier 132": [{"start": "2026-03-21", "end": "2026-03-21"}]</v>
      </c>
    </row>
    <row r="134" spans="1:27" x14ac:dyDescent="0.2">
      <c r="A134" s="3">
        <v>46201</v>
      </c>
      <c r="B134" s="1">
        <v>591.1</v>
      </c>
      <c r="C134">
        <f t="shared" si="2"/>
        <v>108</v>
      </c>
      <c r="D134">
        <v>602.76</v>
      </c>
      <c r="F134">
        <v>133</v>
      </c>
      <c r="G134" s="3" cm="1">
        <f t="array" ref="G134:I134">TRANSPOSE(_xlfn._xlws.FILTER($A$2:$A$2000, $C$2:$C$2000=F134))</f>
        <v>46127</v>
      </c>
      <c r="H134" s="3">
        <v>46134</v>
      </c>
      <c r="I134" s="3">
        <v>46168</v>
      </c>
      <c r="AA134" t="str" cm="1">
        <f t="array" ref="AA134">_xlfn.LET(_xlpm.dates, _xlfn._xlws.FILTER(G134:Z134, G134:Z134&lt;&gt;""),_xlpm.sorted,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"&amp;F134&amp;""": ["&amp;_xlpm.result&amp;"]")</f>
        <v>"Tier 133": [{"start": "2026-04-15", "end": "2026-04-15"},{"start": "2026-04-22", "end": "2026-04-22"},{"start": "2026-05-26", "end": "2026-05-26"}]</v>
      </c>
    </row>
    <row r="135" spans="1:27" x14ac:dyDescent="0.2">
      <c r="A135" s="3">
        <v>46202</v>
      </c>
      <c r="B135" s="1">
        <v>584.61</v>
      </c>
      <c r="C135">
        <f t="shared" si="2"/>
        <v>96</v>
      </c>
      <c r="D135">
        <v>603.04999999999995</v>
      </c>
      <c r="F135">
        <v>134</v>
      </c>
      <c r="G135" s="3" cm="1">
        <f t="array" ref="G135">TRANSPOSE(_xlfn._xlws.FILTER($A$2:$A$2000, $C$2:$C$2000=F135))</f>
        <v>46322</v>
      </c>
      <c r="AA135" t="str" cm="1">
        <f t="array" ref="AA135">_xlfn.LET(_xlpm.dates, _xlfn._xlws.FILTER(G135:Z135, G135:Z135&lt;&gt;""),_xlpm.sorted,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"&amp;F135&amp;""": ["&amp;_xlpm.result&amp;"]")</f>
        <v>"Tier 134": [{"start": "2026-10-27", "end": "2026-10-27"}]</v>
      </c>
    </row>
    <row r="136" spans="1:27" x14ac:dyDescent="0.2">
      <c r="A136" s="3">
        <v>46203</v>
      </c>
      <c r="B136" s="1">
        <v>587.87</v>
      </c>
      <c r="C136">
        <f t="shared" si="2"/>
        <v>102</v>
      </c>
      <c r="D136">
        <v>603.4</v>
      </c>
      <c r="F136">
        <v>135</v>
      </c>
      <c r="G136" s="3" cm="1">
        <f t="array" ref="G136">TRANSPOSE(_xlfn._xlws.FILTER($A$2:$A$2000, $C$2:$C$2000=F136))</f>
        <v>46167</v>
      </c>
      <c r="AA136" t="str" cm="1">
        <f t="array" ref="AA136">_xlfn.LET(_xlpm.dates, _xlfn._xlws.FILTER(G136:Z136, G136:Z136&lt;&gt;""),_xlpm.sorted,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"&amp;F136&amp;""": ["&amp;_xlpm.result&amp;"]")</f>
        <v>"Tier 135": [{"start": "2026-05-25", "end": "2026-05-25"}]</v>
      </c>
    </row>
    <row r="137" spans="1:27" x14ac:dyDescent="0.2">
      <c r="A137" s="3">
        <v>46204</v>
      </c>
      <c r="B137" s="2">
        <v>590.45000000000005</v>
      </c>
      <c r="C137">
        <f t="shared" si="2"/>
        <v>104</v>
      </c>
      <c r="D137">
        <v>603.98</v>
      </c>
      <c r="F137">
        <v>136</v>
      </c>
      <c r="G137" s="3" cm="1">
        <f t="array" ref="G137">TRANSPOSE(_xlfn._xlws.FILTER($A$2:$A$2000, $C$2:$C$2000=F137))</f>
        <v>46335</v>
      </c>
      <c r="AA137" t="str" cm="1">
        <f t="array" ref="AA137">_xlfn.LET(_xlpm.dates, _xlfn._xlws.FILTER(G137:Z137, G137:Z137&lt;&gt;""),_xlpm.sorted,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"&amp;F137&amp;""": ["&amp;_xlpm.result&amp;"]")</f>
        <v>"Tier 136": [{"start": "2026-11-09", "end": "2026-11-09"}]</v>
      </c>
    </row>
    <row r="138" spans="1:27" x14ac:dyDescent="0.2">
      <c r="A138" s="3">
        <v>46205</v>
      </c>
      <c r="B138" s="2">
        <v>593.69000000000005</v>
      </c>
      <c r="C138">
        <f t="shared" si="2"/>
        <v>112</v>
      </c>
      <c r="D138">
        <v>604.05999999999995</v>
      </c>
      <c r="F138">
        <v>137</v>
      </c>
      <c r="G138" s="3" cm="1">
        <f t="array" ref="G138:I138">TRANSPOSE(_xlfn._xlws.FILTER($A$2:$A$2000, $C$2:$C$2000=F138))</f>
        <v>46107</v>
      </c>
      <c r="H138" s="3">
        <v>46131</v>
      </c>
      <c r="I138" s="3">
        <v>46163</v>
      </c>
      <c r="AA138" t="str" cm="1">
        <f t="array" ref="AA138">_xlfn.LET(_xlpm.dates, _xlfn._xlws.FILTER(G138:Z138, G138:Z138&lt;&gt;""),_xlpm.sorted,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"&amp;F138&amp;""": ["&amp;_xlpm.result&amp;"]")</f>
        <v>"Tier 137": [{"start": "2026-03-26", "end": "2026-03-26"},{"start": "2026-04-19", "end": "2026-04-19"},{"start": "2026-05-21", "end": "2026-05-21"}]</v>
      </c>
    </row>
    <row r="139" spans="1:27" x14ac:dyDescent="0.2">
      <c r="A139" s="3">
        <v>46206</v>
      </c>
      <c r="B139" s="2">
        <v>592.4</v>
      </c>
      <c r="C139">
        <f t="shared" si="2"/>
        <v>111</v>
      </c>
      <c r="D139">
        <v>604.09</v>
      </c>
      <c r="F139">
        <v>138</v>
      </c>
      <c r="G139" s="3" cm="1">
        <f t="array" ref="G139">TRANSPOSE(_xlfn._xlws.FILTER($A$2:$A$2000, $C$2:$C$2000=F139))</f>
        <v>46074</v>
      </c>
      <c r="AA139" t="str" cm="1">
        <f t="array" ref="AA139">_xlfn.LET(_xlpm.dates, _xlfn._xlws.FILTER(G139:Z139, G139:Z139&lt;&gt;""),_xlpm.sorted,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"&amp;F139&amp;""": ["&amp;_xlpm.result&amp;"]")</f>
        <v>"Tier 138": [{"start": "2026-02-21", "end": "2026-02-21"}]</v>
      </c>
    </row>
    <row r="140" spans="1:27" x14ac:dyDescent="0.2">
      <c r="A140" s="3">
        <v>46207</v>
      </c>
      <c r="B140" s="2">
        <v>581.37</v>
      </c>
      <c r="C140">
        <f t="shared" si="2"/>
        <v>92</v>
      </c>
      <c r="D140">
        <v>604.36</v>
      </c>
      <c r="F140">
        <v>139</v>
      </c>
      <c r="G140" s="3" cm="1">
        <f t="array" ref="G140">TRANSPOSE(_xlfn._xlws.FILTER($A$2:$A$2000, $C$2:$C$2000=F140))</f>
        <v>46298</v>
      </c>
      <c r="AA140" t="str" cm="1">
        <f t="array" ref="AA140">_xlfn.LET(_xlpm.dates, _xlfn._xlws.FILTER(G140:Z140, G140:Z140&lt;&gt;""),_xlpm.sorted,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"&amp;F140&amp;""": ["&amp;_xlpm.result&amp;"]")</f>
        <v>"Tier 139": [{"start": "2026-10-03", "end": "2026-10-03"}]</v>
      </c>
    </row>
    <row r="141" spans="1:27" x14ac:dyDescent="0.2">
      <c r="A141" s="3">
        <v>46208</v>
      </c>
      <c r="B141" s="2">
        <v>563.57000000000005</v>
      </c>
      <c r="C141">
        <f t="shared" si="2"/>
        <v>72</v>
      </c>
      <c r="D141">
        <v>604.69000000000005</v>
      </c>
      <c r="F141">
        <v>140</v>
      </c>
      <c r="G141" s="3" cm="1">
        <f t="array" ref="G141">TRANSPOSE(_xlfn._xlws.FILTER($A$2:$A$2000, $C$2:$C$2000=F141))</f>
        <v>46101</v>
      </c>
      <c r="AA141" t="str" cm="1">
        <f t="array" ref="AA141">_xlfn.LET(_xlpm.dates, _xlfn._xlws.FILTER(G141:Z141, G141:Z141&lt;&gt;""),_xlpm.sorted,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"&amp;F141&amp;""": ["&amp;_xlpm.result&amp;"]")</f>
        <v>"Tier 140": [{"start": "2026-03-20", "end": "2026-03-20"}]</v>
      </c>
    </row>
    <row r="142" spans="1:27" x14ac:dyDescent="0.2">
      <c r="A142" s="3">
        <v>46209</v>
      </c>
      <c r="B142" s="2">
        <v>555.78</v>
      </c>
      <c r="C142">
        <f t="shared" si="2"/>
        <v>70</v>
      </c>
      <c r="D142">
        <v>605.03</v>
      </c>
      <c r="F142">
        <v>141</v>
      </c>
      <c r="G142" s="3" cm="1">
        <f t="array" ref="G142">TRANSPOSE(_xlfn._xlws.FILTER($A$2:$A$2000, $C$2:$C$2000=F142))</f>
        <v>46297</v>
      </c>
      <c r="AA142" t="str" cm="1">
        <f t="array" ref="AA142">_xlfn.LET(_xlpm.dates, _xlfn._xlws.FILTER(G142:Z142, G142:Z142&lt;&gt;""),_xlpm.sorted,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"&amp;F142&amp;""": ["&amp;_xlpm.result&amp;"]")</f>
        <v>"Tier 141": [{"start": "2026-10-02", "end": "2026-10-02"}]</v>
      </c>
    </row>
    <row r="143" spans="1:27" x14ac:dyDescent="0.2">
      <c r="A143" s="3">
        <v>46210</v>
      </c>
      <c r="B143" s="2">
        <v>555.16</v>
      </c>
      <c r="C143">
        <f t="shared" si="2"/>
        <v>67</v>
      </c>
      <c r="D143">
        <v>605.34</v>
      </c>
      <c r="F143">
        <v>142</v>
      </c>
      <c r="G143" s="3" cm="1">
        <f t="array" ref="G143:J143">TRANSPOSE(_xlfn._xlws.FILTER($A$2:$A$2000, $C$2:$C$2000=F143))</f>
        <v>46090</v>
      </c>
      <c r="H143" s="3">
        <v>46111</v>
      </c>
      <c r="I143" s="3">
        <v>46118</v>
      </c>
      <c r="J143" s="3">
        <v>46150</v>
      </c>
      <c r="AA143" t="str" cm="1">
        <f t="array" ref="AA143">_xlfn.LET(_xlpm.dates, _xlfn._xlws.FILTER(G143:Z143, G143:Z143&lt;&gt;""),_xlpm.sorted,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"&amp;F143&amp;""": ["&amp;_xlpm.result&amp;"]")</f>
        <v>"Tier 142": [{"start": "2026-03-09", "end": "2026-03-09"},{"start": "2026-03-30", "end": "2026-03-30"},{"start": "2026-04-06", "end": "2026-04-06"},{"start": "2026-05-08", "end": "2026-05-08"}]</v>
      </c>
    </row>
    <row r="144" spans="1:27" x14ac:dyDescent="0.2">
      <c r="A144" s="3">
        <v>46211</v>
      </c>
      <c r="B144" s="2">
        <v>555.54</v>
      </c>
      <c r="C144">
        <f t="shared" si="2"/>
        <v>69</v>
      </c>
      <c r="D144">
        <v>605.98</v>
      </c>
      <c r="F144">
        <v>143</v>
      </c>
      <c r="G144" s="3" cm="1">
        <f t="array" ref="G144:H144">TRANSPOSE(_xlfn._xlws.FILTER($A$2:$A$2000, $C$2:$C$2000=F144))</f>
        <v>46123</v>
      </c>
      <c r="H144" s="3">
        <v>46166</v>
      </c>
      <c r="AA144" t="str" cm="1">
        <f t="array" ref="AA144">_xlfn.LET(_xlpm.dates, _xlfn._xlws.FILTER(G144:Z144, G144:Z144&lt;&gt;""),_xlpm.sorted,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"&amp;F144&amp;""": ["&amp;_xlpm.result&amp;"]")</f>
        <v>"Tier 143": [{"start": "2026-04-11", "end": "2026-04-11"},{"start": "2026-05-24", "end": "2026-05-24"}]</v>
      </c>
    </row>
    <row r="145" spans="1:27" x14ac:dyDescent="0.2">
      <c r="A145" s="3">
        <v>46212</v>
      </c>
      <c r="B145" s="2">
        <v>555.54</v>
      </c>
      <c r="C145">
        <f t="shared" si="2"/>
        <v>69</v>
      </c>
      <c r="D145">
        <v>606.04999999999995</v>
      </c>
      <c r="F145">
        <v>144</v>
      </c>
      <c r="G145" s="3" cm="1">
        <f t="array" ref="G145">TRANSPOSE(_xlfn._xlws.FILTER($A$2:$A$2000, $C$2:$C$2000=F145))</f>
        <v>46079</v>
      </c>
      <c r="AA145" t="str" cm="1">
        <f t="array" ref="AA145">_xlfn.LET(_xlpm.dates, _xlfn._xlws.FILTER(G145:Z145, G145:Z145&lt;&gt;""),_xlpm.sorted,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"&amp;F145&amp;""": ["&amp;_xlpm.result&amp;"]")</f>
        <v>"Tier 144": [{"start": "2026-02-26", "end": "2026-02-26"}]</v>
      </c>
    </row>
    <row r="146" spans="1:27" x14ac:dyDescent="0.2">
      <c r="A146" s="3">
        <v>46213</v>
      </c>
      <c r="B146" s="2">
        <v>552.30999999999995</v>
      </c>
      <c r="C146">
        <f t="shared" si="2"/>
        <v>65</v>
      </c>
      <c r="D146">
        <v>606.65</v>
      </c>
      <c r="F146">
        <v>145</v>
      </c>
      <c r="G146" s="3" cm="1">
        <f t="array" ref="G146">TRANSPOSE(_xlfn._xlws.FILTER($A$2:$A$2000, $C$2:$C$2000=F146))</f>
        <v>46095</v>
      </c>
      <c r="AA146" t="str" cm="1">
        <f t="array" ref="AA146">_xlfn.LET(_xlpm.dates, _xlfn._xlws.FILTER(G146:Z146, G146:Z146&lt;&gt;""),_xlpm.sorted,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"&amp;F146&amp;""": ["&amp;_xlpm.result&amp;"]")</f>
        <v>"Tier 145": [{"start": "2026-03-14", "end": "2026-03-14"}]</v>
      </c>
    </row>
    <row r="147" spans="1:27" x14ac:dyDescent="0.2">
      <c r="A147" s="3">
        <v>46214</v>
      </c>
      <c r="B147" s="2">
        <v>558.72</v>
      </c>
      <c r="C147">
        <f t="shared" si="2"/>
        <v>71</v>
      </c>
      <c r="D147">
        <v>606.98</v>
      </c>
      <c r="F147">
        <v>146</v>
      </c>
      <c r="G147" s="3" cm="1">
        <f t="array" ref="G147:H147">TRANSPOSE(_xlfn._xlws.FILTER($A$2:$A$2000, $C$2:$C$2000=F147))</f>
        <v>46299</v>
      </c>
      <c r="H147" s="3">
        <v>46326</v>
      </c>
      <c r="AA147" t="str" cm="1">
        <f t="array" ref="AA147">_xlfn.LET(_xlpm.dates, _xlfn._xlws.FILTER(G147:Z147, G147:Z147&lt;&gt;""),_xlpm.sorted,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"&amp;F147&amp;""": ["&amp;_xlpm.result&amp;"]")</f>
        <v>"Tier 146": [{"start": "2026-10-04", "end": "2026-10-04"},{"start": "2026-10-31", "end": "2026-10-31"}]</v>
      </c>
    </row>
    <row r="148" spans="1:27" x14ac:dyDescent="0.2">
      <c r="A148" s="3">
        <v>46215</v>
      </c>
      <c r="B148" s="2">
        <v>555.47</v>
      </c>
      <c r="C148">
        <f t="shared" si="2"/>
        <v>68</v>
      </c>
      <c r="D148">
        <v>607.29</v>
      </c>
      <c r="F148">
        <v>147</v>
      </c>
      <c r="G148" s="3" cm="1">
        <f t="array" ref="G148:N148">TRANSPOSE(_xlfn._xlws.FILTER($A$2:$A$2000, $C$2:$C$2000=F148))</f>
        <v>46089</v>
      </c>
      <c r="H148" s="3">
        <v>46091</v>
      </c>
      <c r="I148" s="3">
        <v>46108</v>
      </c>
      <c r="J148" s="3">
        <v>46110</v>
      </c>
      <c r="K148" s="3">
        <v>46112</v>
      </c>
      <c r="L148" s="3">
        <v>46117</v>
      </c>
      <c r="M148" s="3">
        <v>46119</v>
      </c>
      <c r="N148" s="3">
        <v>46136</v>
      </c>
      <c r="AA148" t="str" cm="1">
        <f t="array" ref="AA148">_xlfn.LET(_xlpm.dates, _xlfn._xlws.FILTER(G148:Z148, G148:Z148&lt;&gt;""),_xlpm.sorted,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"&amp;F148&amp;""": ["&amp;_xlpm.result&amp;"]")</f>
        <v>"Tier 147": [{"start": "2026-03-08", "end": "2026-03-08"},{"start": "2026-03-10", "end": "2026-03-10"},{"start": "2026-03-27", "end": "2026-03-27"},{"start": "2026-03-29", "end": "2026-03-29"},{"start": "2026-03-31", "end": "2026-03-31"},{"start": "2026-04-05", "end": "2026-04-05"},{"start": "2026-04-07", "end": "2026-04-07"},{"start": "2026-04-24", "end": "2026-04-24"}]</v>
      </c>
    </row>
    <row r="149" spans="1:27" x14ac:dyDescent="0.2">
      <c r="A149" s="3">
        <v>46216</v>
      </c>
      <c r="B149" s="2">
        <v>545.44000000000005</v>
      </c>
      <c r="C149">
        <f t="shared" si="2"/>
        <v>59</v>
      </c>
      <c r="D149">
        <v>607.92999999999995</v>
      </c>
      <c r="F149">
        <v>148</v>
      </c>
      <c r="G149" s="3" cm="1">
        <f t="array" ref="G149:I149">TRANSPOSE(_xlfn._xlws.FILTER($A$2:$A$2000, $C$2:$C$2000=F149))</f>
        <v>46087</v>
      </c>
      <c r="H149" s="3">
        <v>46128</v>
      </c>
      <c r="I149" s="3">
        <v>46135</v>
      </c>
      <c r="AA149" t="str" cm="1">
        <f t="array" ref="AA149">_xlfn.LET(_xlpm.dates, _xlfn._xlws.FILTER(G149:Z149, G149:Z149&lt;&gt;""),_xlpm.sorted,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"&amp;F149&amp;""": ["&amp;_xlpm.result&amp;"]")</f>
        <v>"Tier 148": [{"start": "2026-03-06", "end": "2026-03-06"},{"start": "2026-04-16", "end": "2026-04-16"},{"start": "2026-04-23", "end": "2026-04-23"}]</v>
      </c>
    </row>
    <row r="150" spans="1:27" x14ac:dyDescent="0.2">
      <c r="A150" s="3">
        <v>46217</v>
      </c>
      <c r="B150" s="2">
        <v>551.91999999999996</v>
      </c>
      <c r="C150">
        <f t="shared" si="2"/>
        <v>64</v>
      </c>
      <c r="D150">
        <v>608.58000000000004</v>
      </c>
      <c r="F150">
        <v>149</v>
      </c>
      <c r="G150" s="3" cm="1">
        <f t="array" ref="G150">TRANSPOSE(_xlfn._xlws.FILTER($A$2:$A$2000, $C$2:$C$2000=F150))</f>
        <v>46165</v>
      </c>
      <c r="AA150" t="str" cm="1">
        <f t="array" ref="AA150">_xlfn.LET(_xlpm.dates, _xlfn._xlws.FILTER(G150:Z150, G150:Z150&lt;&gt;""),_xlpm.sorted,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"&amp;F150&amp;""": ["&amp;_xlpm.result&amp;"]")</f>
        <v>"Tier 149": [{"start": "2026-05-23", "end": "2026-05-23"}]</v>
      </c>
    </row>
    <row r="151" spans="1:27" x14ac:dyDescent="0.2">
      <c r="A151" s="3">
        <v>46218</v>
      </c>
      <c r="B151" s="2">
        <v>555.16</v>
      </c>
      <c r="C151">
        <f t="shared" si="2"/>
        <v>67</v>
      </c>
      <c r="D151">
        <v>609.24</v>
      </c>
      <c r="F151">
        <v>150</v>
      </c>
      <c r="G151" s="3" cm="1">
        <f t="array" ref="G151:M151">TRANSPOSE(_xlfn._xlws.FILTER($A$2:$A$2000, $C$2:$C$2000=F151))</f>
        <v>46088</v>
      </c>
      <c r="H151" s="3">
        <v>46092</v>
      </c>
      <c r="I151" s="3">
        <v>46109</v>
      </c>
      <c r="J151" s="3">
        <v>46113</v>
      </c>
      <c r="K151" s="3">
        <v>46116</v>
      </c>
      <c r="L151" s="3">
        <v>46120</v>
      </c>
      <c r="M151" s="3">
        <v>46130</v>
      </c>
      <c r="AA151" t="str" cm="1">
        <f t="array" ref="AA151">_xlfn.LET(_xlpm.dates, _xlfn._xlws.FILTER(G151:Z151, G151:Z151&lt;&gt;""),_xlpm.sorted,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"&amp;F151&amp;""": ["&amp;_xlpm.result&amp;"]")</f>
        <v>"Tier 150": [{"start": "2026-03-07", "end": "2026-03-07"},{"start": "2026-03-11", "end": "2026-03-11"},{"start": "2026-03-28", "end": "2026-03-28"},{"start": "2026-04-01", "end": "2026-04-01"},{"start": "2026-04-04", "end": "2026-04-04"},{"start": "2026-04-08", "end": "2026-04-08"},{"start": "2026-04-18", "end": "2026-04-18"}]</v>
      </c>
    </row>
    <row r="152" spans="1:27" x14ac:dyDescent="0.2">
      <c r="A152" s="3">
        <v>46219</v>
      </c>
      <c r="B152" s="2">
        <v>552.30999999999995</v>
      </c>
      <c r="C152">
        <f t="shared" si="2"/>
        <v>65</v>
      </c>
      <c r="D152">
        <v>609.32000000000005</v>
      </c>
      <c r="F152">
        <v>151</v>
      </c>
      <c r="G152" s="3" cm="1">
        <f t="array" ref="G152">TRANSPOSE(_xlfn._xlws.FILTER($A$2:$A$2000, $C$2:$C$2000=F152))</f>
        <v>46080</v>
      </c>
      <c r="AA152" t="str" cm="1">
        <f t="array" ref="AA152">_xlfn.LET(_xlpm.dates, _xlfn._xlws.FILTER(G152:Z152, G152:Z152&lt;&gt;""),_xlpm.sorted,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"&amp;F152&amp;""": ["&amp;_xlpm.result&amp;"]")</f>
        <v>"Tier 151": [{"start": "2026-02-27", "end": "2026-02-27"}]</v>
      </c>
    </row>
    <row r="153" spans="1:27" x14ac:dyDescent="0.2">
      <c r="A153" s="3">
        <v>46220</v>
      </c>
      <c r="B153" s="2">
        <v>552.30999999999995</v>
      </c>
      <c r="C153">
        <f t="shared" si="2"/>
        <v>65</v>
      </c>
      <c r="D153">
        <v>609.87</v>
      </c>
      <c r="F153">
        <v>152</v>
      </c>
      <c r="G153" s="3" cm="1">
        <f t="array" ref="G153:H153">TRANSPOSE(_xlfn._xlws.FILTER($A$2:$A$2000, $C$2:$C$2000=F153))</f>
        <v>46314</v>
      </c>
      <c r="H153" s="3">
        <v>46336</v>
      </c>
      <c r="AA153" t="str" cm="1">
        <f t="array" ref="AA153">_xlfn.LET(_xlpm.dates, _xlfn._xlws.FILTER(G153:Z153, G153:Z153&lt;&gt;""),_xlpm.sorted,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"&amp;F153&amp;""": ["&amp;_xlpm.result&amp;"]")</f>
        <v>"Tier 152": [{"start": "2026-10-19", "end": "2026-10-19"},{"start": "2026-11-10", "end": "2026-11-10"}]</v>
      </c>
    </row>
    <row r="154" spans="1:27" x14ac:dyDescent="0.2">
      <c r="A154" s="3">
        <v>46221</v>
      </c>
      <c r="B154" s="2">
        <v>545.91</v>
      </c>
      <c r="C154">
        <f t="shared" si="2"/>
        <v>60</v>
      </c>
      <c r="D154">
        <v>609.89</v>
      </c>
      <c r="F154">
        <v>153</v>
      </c>
      <c r="G154" s="3" cm="1">
        <f t="array" ref="G154">TRANSPOSE(_xlfn._xlws.FILTER($A$2:$A$2000, $C$2:$C$2000=F154))</f>
        <v>46094</v>
      </c>
      <c r="AA154" t="str" cm="1">
        <f t="array" ref="AA154">_xlfn.LET(_xlpm.dates, _xlfn._xlws.FILTER(G154:Z154, G154:Z154&lt;&gt;""),_xlpm.sorted,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"&amp;F154&amp;""": ["&amp;_xlpm.result&amp;"]")</f>
        <v>"Tier 153": [{"start": "2026-03-13", "end": "2026-03-13"}]</v>
      </c>
    </row>
    <row r="155" spans="1:27" x14ac:dyDescent="0.2">
      <c r="A155" s="3">
        <v>46222</v>
      </c>
      <c r="B155" s="2">
        <v>542.66999999999996</v>
      </c>
      <c r="C155">
        <f t="shared" si="2"/>
        <v>57</v>
      </c>
      <c r="D155">
        <v>610.51</v>
      </c>
      <c r="F155">
        <v>154</v>
      </c>
      <c r="G155" s="3" cm="1">
        <f t="array" ref="G155:I155">TRANSPOSE(_xlfn._xlws.FILTER($A$2:$A$2000, $C$2:$C$2000=F155))</f>
        <v>46313</v>
      </c>
      <c r="H155" s="3">
        <v>46319</v>
      </c>
      <c r="I155" s="3">
        <v>46334</v>
      </c>
      <c r="AA155" t="str" cm="1">
        <f t="array" ref="AA155">_xlfn.LET(_xlpm.dates, _xlfn._xlws.FILTER(G155:Z155, G155:Z155&lt;&gt;""),_xlpm.sorted,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"&amp;F155&amp;""": ["&amp;_xlpm.result&amp;"]")</f>
        <v>"Tier 154": [{"start": "2026-10-18", "end": "2026-10-18"},{"start": "2026-10-24", "end": "2026-10-24"},{"start": "2026-11-08", "end": "2026-11-08"}]</v>
      </c>
    </row>
    <row r="156" spans="1:27" x14ac:dyDescent="0.2">
      <c r="A156" s="3">
        <v>46223</v>
      </c>
      <c r="B156" s="2">
        <v>542.66999999999996</v>
      </c>
      <c r="C156">
        <f t="shared" si="2"/>
        <v>57</v>
      </c>
      <c r="D156">
        <v>610.9</v>
      </c>
      <c r="F156">
        <v>155</v>
      </c>
      <c r="G156" s="3" cm="1">
        <f t="array" ref="G156">TRANSPOSE(_xlfn._xlws.FILTER($A$2:$A$2000, $C$2:$C$2000=F156))</f>
        <v>46323</v>
      </c>
      <c r="AA156" t="str" cm="1">
        <f t="array" ref="AA156">_xlfn.LET(_xlpm.dates, _xlfn._xlws.FILTER(G156:Z156, G156:Z156&lt;&gt;""),_xlpm.sorted,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"&amp;F156&amp;""": ["&amp;_xlpm.result&amp;"]")</f>
        <v>"Tier 155": [{"start": "2026-10-28", "end": "2026-10-28"}]</v>
      </c>
    </row>
    <row r="157" spans="1:27" x14ac:dyDescent="0.2">
      <c r="A157" s="3">
        <v>46224</v>
      </c>
      <c r="B157" s="2">
        <v>549.12</v>
      </c>
      <c r="C157">
        <f t="shared" si="2"/>
        <v>62</v>
      </c>
      <c r="D157">
        <v>611.16999999999996</v>
      </c>
      <c r="F157">
        <v>156</v>
      </c>
      <c r="G157" s="3" cm="1">
        <f t="array" ref="G157:M157">TRANSPOSE(_xlfn._xlws.FILTER($A$2:$A$2000, $C$2:$C$2000=F157))</f>
        <v>46093</v>
      </c>
      <c r="H157" s="3">
        <v>46114</v>
      </c>
      <c r="I157" s="3">
        <v>46115</v>
      </c>
      <c r="J157" s="3">
        <v>46121</v>
      </c>
      <c r="K157" s="3">
        <v>46122</v>
      </c>
      <c r="L157" s="3">
        <v>46129</v>
      </c>
      <c r="M157" s="3">
        <v>46164</v>
      </c>
      <c r="AA157" t="str" cm="1">
        <f t="array" ref="AA157">_xlfn.LET(_xlpm.dates, _xlfn._xlws.FILTER(G157:Z157, G157:Z157&lt;&gt;""),_xlpm.sorted,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"&amp;F157&amp;""": ["&amp;_xlpm.result&amp;"]")</f>
        <v>"Tier 156": [{"start": "2026-03-12", "end": "2026-03-12"},{"start": "2026-04-02", "end": "2026-04-02"},{"start": "2026-04-03", "end": "2026-04-03"},{"start": "2026-04-09", "end": "2026-04-09"},{"start": "2026-04-10", "end": "2026-04-10"},{"start": "2026-04-17", "end": "2026-04-17"},{"start": "2026-05-22", "end": "2026-05-22"}]</v>
      </c>
    </row>
    <row r="158" spans="1:27" x14ac:dyDescent="0.2">
      <c r="A158" s="3">
        <v>46225</v>
      </c>
      <c r="B158" s="2">
        <v>555.54</v>
      </c>
      <c r="C158">
        <f t="shared" si="2"/>
        <v>69</v>
      </c>
      <c r="D158">
        <v>611.57000000000005</v>
      </c>
      <c r="F158">
        <v>157</v>
      </c>
      <c r="G158" s="3" cm="1">
        <f t="array" ref="G158">TRANSPOSE(_xlfn._xlws.FILTER($A$2:$A$2000, $C$2:$C$2000=F158))</f>
        <v>46330</v>
      </c>
      <c r="AA158" t="str" cm="1">
        <f t="array" ref="AA158">_xlfn.LET(_xlpm.dates, _xlfn._xlws.FILTER(G158:Z158, G158:Z158&lt;&gt;""),_xlpm.sorted,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"&amp;F158&amp;""": ["&amp;_xlpm.result&amp;"]")</f>
        <v>"Tier 157": [{"start": "2026-11-04", "end": "2026-11-04"}]</v>
      </c>
    </row>
    <row r="159" spans="1:27" x14ac:dyDescent="0.2">
      <c r="A159" s="3">
        <v>46226</v>
      </c>
      <c r="B159" s="2">
        <v>555.54</v>
      </c>
      <c r="C159">
        <f t="shared" si="2"/>
        <v>69</v>
      </c>
      <c r="D159">
        <v>611.95000000000005</v>
      </c>
      <c r="F159">
        <v>158</v>
      </c>
      <c r="G159" s="3" cm="1">
        <f t="array" ref="G159">TRANSPOSE(_xlfn._xlws.FILTER($A$2:$A$2000, $C$2:$C$2000=F159))</f>
        <v>46070</v>
      </c>
      <c r="AA159" t="str" cm="1">
        <f t="array" ref="AA159">_xlfn.LET(_xlpm.dates, _xlfn._xlws.FILTER(G159:Z159, G159:Z159&lt;&gt;""),_xlpm.sorted,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"&amp;F159&amp;""": ["&amp;_xlpm.result&amp;"]")</f>
        <v>"Tier 158": [{"start": "2026-02-17", "end": "2026-02-17"}]</v>
      </c>
    </row>
    <row r="160" spans="1:27" x14ac:dyDescent="0.2">
      <c r="A160" s="3">
        <v>46227</v>
      </c>
      <c r="B160" s="2">
        <v>552.30999999999995</v>
      </c>
      <c r="C160">
        <f t="shared" si="2"/>
        <v>65</v>
      </c>
      <c r="D160">
        <v>612.59</v>
      </c>
      <c r="F160">
        <v>159</v>
      </c>
      <c r="G160" s="3" cm="1">
        <f t="array" ref="G160">TRANSPOSE(_xlfn._xlws.FILTER($A$2:$A$2000, $C$2:$C$2000=F160))</f>
        <v>46073</v>
      </c>
      <c r="AA160" t="str" cm="1">
        <f t="array" ref="AA160">_xlfn.LET(_xlpm.dates, _xlfn._xlws.FILTER(G160:Z160, G160:Z160&lt;&gt;""),_xlpm.sorted,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"&amp;F160&amp;""": ["&amp;_xlpm.result&amp;"]")</f>
        <v>"Tier 159": [{"start": "2026-02-20", "end": "2026-02-20"}]</v>
      </c>
    </row>
    <row r="161" spans="1:27" x14ac:dyDescent="0.2">
      <c r="A161" s="3">
        <v>46228</v>
      </c>
      <c r="B161" s="2">
        <v>545.91</v>
      </c>
      <c r="C161">
        <f t="shared" si="2"/>
        <v>60</v>
      </c>
      <c r="D161">
        <v>613.14</v>
      </c>
      <c r="F161">
        <v>160</v>
      </c>
      <c r="G161" s="3" cm="1">
        <f t="array" ref="G161">TRANSPOSE(_xlfn._xlws.FILTER($A$2:$A$2000, $C$2:$C$2000=F161))</f>
        <v>46301</v>
      </c>
      <c r="AA161" t="str" cm="1">
        <f t="array" ref="AA161">_xlfn.LET(_xlpm.dates, _xlfn._xlws.FILTER(G161:Z161, G161:Z161&lt;&gt;""),_xlpm.sorted,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"&amp;F161&amp;""": ["&amp;_xlpm.result&amp;"]")</f>
        <v>"Tier 160": [{"start": "2026-10-06", "end": "2026-10-06"}]</v>
      </c>
    </row>
    <row r="162" spans="1:27" x14ac:dyDescent="0.2">
      <c r="A162" s="3">
        <v>46229</v>
      </c>
      <c r="B162" s="1">
        <v>539.46</v>
      </c>
      <c r="C162">
        <f t="shared" si="2"/>
        <v>55</v>
      </c>
      <c r="D162">
        <v>613.9</v>
      </c>
      <c r="F162">
        <v>161</v>
      </c>
      <c r="G162" s="3" cm="1">
        <f t="array" ref="G162">TRANSPOSE(_xlfn._xlws.FILTER($A$2:$A$2000, $C$2:$C$2000=F162))</f>
        <v>46071</v>
      </c>
      <c r="AA162" t="str" cm="1">
        <f t="array" ref="AA162">_xlfn.LET(_xlpm.dates, _xlfn._xlws.FILTER(G162:Z162, G162:Z162&lt;&gt;""),_xlpm.sorted,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"&amp;F162&amp;""": ["&amp;_xlpm.result&amp;"]")</f>
        <v>"Tier 161": [{"start": "2026-02-18", "end": "2026-02-18"}]</v>
      </c>
    </row>
    <row r="163" spans="1:27" x14ac:dyDescent="0.2">
      <c r="A163" s="3">
        <v>46230</v>
      </c>
      <c r="B163" s="1">
        <v>536.24</v>
      </c>
      <c r="C163">
        <f t="shared" si="2"/>
        <v>54</v>
      </c>
      <c r="D163">
        <v>615.86</v>
      </c>
      <c r="F163">
        <v>162</v>
      </c>
      <c r="G163" s="3" cm="1">
        <f t="array" ref="G163">TRANSPOSE(_xlfn._xlws.FILTER($A$2:$A$2000, $C$2:$C$2000=F163))</f>
        <v>46072</v>
      </c>
      <c r="AA163" t="str" cm="1">
        <f t="array" ref="AA163">_xlfn.LET(_xlpm.dates, _xlfn._xlws.FILTER(G163:Z163, G163:Z163&lt;&gt;""),_xlpm.sorted,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"&amp;F163&amp;""": ["&amp;_xlpm.result&amp;"]")</f>
        <v>"Tier 162": [{"start": "2026-02-19", "end": "2026-02-19"}]</v>
      </c>
    </row>
    <row r="164" spans="1:27" x14ac:dyDescent="0.2">
      <c r="A164" s="3">
        <v>46231</v>
      </c>
      <c r="B164" s="1">
        <v>540.09</v>
      </c>
      <c r="C164">
        <f t="shared" si="2"/>
        <v>56</v>
      </c>
      <c r="D164">
        <v>616.14</v>
      </c>
      <c r="F164">
        <v>163</v>
      </c>
      <c r="G164" s="3" cm="1">
        <f t="array" ref="G164:H164">TRANSPOSE(_xlfn._xlws.FILTER($A$2:$A$2000, $C$2:$C$2000=F164))</f>
        <v>46324</v>
      </c>
      <c r="H164" s="3">
        <v>46325</v>
      </c>
      <c r="AA164" t="str" cm="1">
        <f t="array" ref="AA164">_xlfn.LET(_xlpm.dates, _xlfn._xlws.FILTER(G164:Z164, G164:Z164&lt;&gt;""),_xlpm.sorted,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"&amp;F164&amp;""": ["&amp;_xlpm.result&amp;"]")</f>
        <v>"Tier 163": [{"start": "2026-10-29", "end": "2026-10-29"},{"start": "2026-10-30", "end": "2026-10-30"}]</v>
      </c>
    </row>
    <row r="165" spans="1:27" x14ac:dyDescent="0.2">
      <c r="A165" s="3">
        <v>46232</v>
      </c>
      <c r="B165" s="1">
        <v>547.16999999999996</v>
      </c>
      <c r="C165">
        <f t="shared" si="2"/>
        <v>61</v>
      </c>
      <c r="D165">
        <v>616.41</v>
      </c>
      <c r="F165">
        <v>164</v>
      </c>
      <c r="G165" s="3" cm="1">
        <f t="array" ref="G165:H165">TRANSPOSE(_xlfn._xlws.FILTER($A$2:$A$2000, $C$2:$C$2000=F165))</f>
        <v>46312</v>
      </c>
      <c r="H165" s="3">
        <v>46315</v>
      </c>
      <c r="AA165" t="str" cm="1">
        <f t="array" ref="AA165">_xlfn.LET(_xlpm.dates, _xlfn._xlws.FILTER(G165:Z165, G165:Z165&lt;&gt;""),_xlpm.sorted,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"&amp;F165&amp;""": ["&amp;_xlpm.result&amp;"]")</f>
        <v>"Tier 164": [{"start": "2026-10-17", "end": "2026-10-17"},{"start": "2026-10-20", "end": "2026-10-20"}]</v>
      </c>
    </row>
    <row r="166" spans="1:27" x14ac:dyDescent="0.2">
      <c r="A166" s="3">
        <v>46233</v>
      </c>
      <c r="B166" s="1">
        <v>551.04999999999995</v>
      </c>
      <c r="C166">
        <f t="shared" si="2"/>
        <v>63</v>
      </c>
      <c r="D166">
        <v>617.05999999999995</v>
      </c>
      <c r="F166">
        <v>165</v>
      </c>
      <c r="G166" s="3" cm="1">
        <f t="array" ref="G166">TRANSPOSE(_xlfn._xlws.FILTER($A$2:$A$2000, $C$2:$C$2000=F166))</f>
        <v>46333</v>
      </c>
      <c r="AA166" t="str" cm="1">
        <f t="array" ref="AA166">_xlfn.LET(_xlpm.dates, _xlfn._xlws.FILTER(G166:Z166, G166:Z166&lt;&gt;""),_xlpm.sorted,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"&amp;F166&amp;""": ["&amp;_xlpm.result&amp;"]")</f>
        <v>"Tier 165": [{"start": "2026-11-07", "end": "2026-11-07"}]</v>
      </c>
    </row>
    <row r="167" spans="1:27" x14ac:dyDescent="0.2">
      <c r="A167" s="3">
        <v>46234</v>
      </c>
      <c r="B167" s="1">
        <v>549.12</v>
      </c>
      <c r="C167">
        <f t="shared" si="2"/>
        <v>62</v>
      </c>
      <c r="D167">
        <v>617.70000000000005</v>
      </c>
      <c r="F167">
        <v>166</v>
      </c>
      <c r="G167" s="3" cm="1">
        <f t="array" ref="G167">TRANSPOSE(_xlfn._xlws.FILTER($A$2:$A$2000, $C$2:$C$2000=F167))</f>
        <v>46318</v>
      </c>
      <c r="AA167" t="str" cm="1">
        <f t="array" ref="AA167">_xlfn.LET(_xlpm.dates, _xlfn._xlws.FILTER(G167:Z167, G167:Z167&lt;&gt;""),_xlpm.sorted,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"&amp;F167&amp;""": ["&amp;_xlpm.result&amp;"]")</f>
        <v>"Tier 166": [{"start": "2026-10-23", "end": "2026-10-23"}]</v>
      </c>
    </row>
    <row r="168" spans="1:27" x14ac:dyDescent="0.2">
      <c r="A168" s="3">
        <v>46235</v>
      </c>
      <c r="B168" s="2">
        <v>543.33000000000004</v>
      </c>
      <c r="C168">
        <f t="shared" si="2"/>
        <v>58</v>
      </c>
      <c r="D168">
        <v>619.67999999999995</v>
      </c>
      <c r="F168">
        <v>167</v>
      </c>
      <c r="G168" s="3" cm="1">
        <f t="array" ref="G168:I168">TRANSPOSE(_xlfn._xlws.FILTER($A$2:$A$2000, $C$2:$C$2000=F168))</f>
        <v>46356</v>
      </c>
      <c r="H168" s="3">
        <v>46363</v>
      </c>
      <c r="I168" s="3">
        <v>46364</v>
      </c>
      <c r="AA168" t="str" cm="1">
        <f t="array" ref="AA168">_xlfn.LET(_xlpm.dates, _xlfn._xlws.FILTER(G168:Z168, G168:Z168&lt;&gt;""),_xlpm.sorted,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"&amp;F168&amp;""": ["&amp;_xlpm.result&amp;"]")</f>
        <v>"Tier 167": [{"start": "2026-11-30", "end": "2026-11-30"},{"start": "2026-12-07", "end": "2026-12-07"},{"start": "2026-12-08", "end": "2026-12-08"}]</v>
      </c>
    </row>
    <row r="169" spans="1:27" x14ac:dyDescent="0.2">
      <c r="A169" s="3">
        <v>46236</v>
      </c>
      <c r="B169" s="2">
        <v>531.09</v>
      </c>
      <c r="C169">
        <f t="shared" si="2"/>
        <v>52</v>
      </c>
      <c r="D169">
        <v>620.33000000000004</v>
      </c>
      <c r="F169">
        <v>168</v>
      </c>
      <c r="G169" s="3" cm="1">
        <f t="array" ref="G169">TRANSPOSE(_xlfn._xlws.FILTER($A$2:$A$2000, $C$2:$C$2000=F169))</f>
        <v>46362</v>
      </c>
      <c r="AA169" t="str" cm="1">
        <f t="array" ref="AA169">_xlfn.LET(_xlpm.dates, _xlfn._xlws.FILTER(G169:Z169, G169:Z169&lt;&gt;""),_xlpm.sorted,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"&amp;F169&amp;""": ["&amp;_xlpm.result&amp;"]")</f>
        <v>"Tier 168": [{"start": "2026-12-06", "end": "2026-12-06"}]</v>
      </c>
    </row>
    <row r="170" spans="1:27" x14ac:dyDescent="0.2">
      <c r="A170" s="3">
        <v>46237</v>
      </c>
      <c r="B170" s="2">
        <v>522.09</v>
      </c>
      <c r="C170">
        <f t="shared" si="2"/>
        <v>47</v>
      </c>
      <c r="D170">
        <v>620.97</v>
      </c>
      <c r="F170">
        <v>169</v>
      </c>
      <c r="G170" s="3" cm="1">
        <f t="array" ref="G170">TRANSPOSE(_xlfn._xlws.FILTER($A$2:$A$2000, $C$2:$C$2000=F170))</f>
        <v>46302</v>
      </c>
      <c r="AA170" t="str" cm="1">
        <f t="array" ref="AA170">_xlfn.LET(_xlpm.dates, _xlfn._xlws.FILTER(G170:Z170, G170:Z170&lt;&gt;""),_xlpm.sorted,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"&amp;F170&amp;""": ["&amp;_xlpm.result&amp;"]")</f>
        <v>"Tier 169": [{"start": "2026-10-07", "end": "2026-10-07"}]</v>
      </c>
    </row>
    <row r="171" spans="1:27" x14ac:dyDescent="0.2">
      <c r="A171" s="3">
        <v>46238</v>
      </c>
      <c r="B171" s="2">
        <v>518.87</v>
      </c>
      <c r="C171">
        <f t="shared" si="2"/>
        <v>46</v>
      </c>
      <c r="D171">
        <v>621.64</v>
      </c>
      <c r="F171">
        <v>170</v>
      </c>
      <c r="G171" s="3" cm="1">
        <f t="array" ref="G171">TRANSPOSE(_xlfn._xlws.FILTER($A$2:$A$2000, $C$2:$C$2000=F171))</f>
        <v>46307</v>
      </c>
      <c r="AA171" t="str" cm="1">
        <f t="array" ref="AA171">_xlfn.LET(_xlpm.dates, _xlfn._xlws.FILTER(G171:Z171, G171:Z171&lt;&gt;""),_xlpm.sorted,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"&amp;F171&amp;""": ["&amp;_xlpm.result&amp;"]")</f>
        <v>"Tier 170": [{"start": "2026-10-12", "end": "2026-10-12"}]</v>
      </c>
    </row>
    <row r="172" spans="1:27" x14ac:dyDescent="0.2">
      <c r="A172" s="3">
        <v>46239</v>
      </c>
      <c r="B172" s="2">
        <v>524.01</v>
      </c>
      <c r="C172">
        <f t="shared" si="2"/>
        <v>49</v>
      </c>
      <c r="D172">
        <v>622.02</v>
      </c>
      <c r="F172">
        <v>171</v>
      </c>
      <c r="G172" s="3" cm="1">
        <f t="array" ref="G172">TRANSPOSE(_xlfn._xlws.FILTER($A$2:$A$2000, $C$2:$C$2000=F172))</f>
        <v>46331</v>
      </c>
      <c r="AA172" t="str" cm="1">
        <f t="array" ref="AA172">_xlfn.LET(_xlpm.dates, _xlfn._xlws.FILTER(G172:Z172, G172:Z172&lt;&gt;""),_xlpm.sorted,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"&amp;F172&amp;""": ["&amp;_xlpm.result&amp;"]")</f>
        <v>"Tier 171": [{"start": "2026-11-05", "end": "2026-11-05"}]</v>
      </c>
    </row>
    <row r="173" spans="1:27" x14ac:dyDescent="0.2">
      <c r="A173" s="3">
        <v>46240</v>
      </c>
      <c r="B173" s="2">
        <v>529.16999999999996</v>
      </c>
      <c r="C173">
        <f t="shared" si="2"/>
        <v>51</v>
      </c>
      <c r="D173">
        <v>622.29</v>
      </c>
      <c r="F173">
        <v>172</v>
      </c>
      <c r="G173" s="3" cm="1">
        <f t="array" ref="G173">TRANSPOSE(_xlfn._xlws.FILTER($A$2:$A$2000, $C$2:$C$2000=F173))</f>
        <v>46337</v>
      </c>
      <c r="AA173" t="str" cm="1">
        <f t="array" ref="AA173">_xlfn.LET(_xlpm.dates, _xlfn._xlws.FILTER(G173:Z173, G173:Z173&lt;&gt;""),_xlpm.sorted,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"&amp;F173&amp;""": ["&amp;_xlpm.result&amp;"]")</f>
        <v>"Tier 172": [{"start": "2026-11-11", "end": "2026-11-11"}]</v>
      </c>
    </row>
    <row r="174" spans="1:27" x14ac:dyDescent="0.2">
      <c r="A174" s="3">
        <v>46241</v>
      </c>
      <c r="B174" s="2">
        <v>529.16999999999996</v>
      </c>
      <c r="C174">
        <f t="shared" si="2"/>
        <v>51</v>
      </c>
      <c r="D174">
        <v>622.95000000000005</v>
      </c>
      <c r="F174">
        <v>173</v>
      </c>
      <c r="G174" s="3" cm="1">
        <f t="array" ref="G174:J174">TRANSPOSE(_xlfn._xlws.FILTER($A$2:$A$2000, $C$2:$C$2000=F174))</f>
        <v>46308</v>
      </c>
      <c r="H174" s="3">
        <v>46316</v>
      </c>
      <c r="I174" s="3">
        <v>46317</v>
      </c>
      <c r="J174" s="3">
        <v>46357</v>
      </c>
      <c r="AA174" t="str" cm="1">
        <f t="array" ref="AA174">_xlfn.LET(_xlpm.dates, _xlfn._xlws.FILTER(G174:Z174, G174:Z174&lt;&gt;""),_xlpm.sorted,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"&amp;F174&amp;""": ["&amp;_xlpm.result&amp;"]")</f>
        <v>"Tier 173": [{"start": "2026-10-13", "end": "2026-10-13"},{"start": "2026-10-21", "end": "2026-10-21"},{"start": "2026-10-22", "end": "2026-10-22"},{"start": "2026-12-01", "end": "2026-12-01"}]</v>
      </c>
    </row>
    <row r="175" spans="1:27" x14ac:dyDescent="0.2">
      <c r="A175" s="3">
        <v>46242</v>
      </c>
      <c r="B175" s="2">
        <v>518.5</v>
      </c>
      <c r="C175">
        <f t="shared" si="2"/>
        <v>45</v>
      </c>
      <c r="D175">
        <v>623.6</v>
      </c>
      <c r="F175">
        <v>174</v>
      </c>
      <c r="G175" s="3" cm="1">
        <f t="array" ref="G175">TRANSPOSE(_xlfn._xlws.FILTER($A$2:$A$2000, $C$2:$C$2000=F175))</f>
        <v>46311</v>
      </c>
      <c r="AA175" t="str" cm="1">
        <f t="array" ref="AA175">_xlfn.LET(_xlpm.dates, _xlfn._xlws.FILTER(G175:Z175, G175:Z175&lt;&gt;""),_xlpm.sorted,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"&amp;F175&amp;""": ["&amp;_xlpm.result&amp;"]")</f>
        <v>"Tier 174": [{"start": "2026-10-16", "end": "2026-10-16"}]</v>
      </c>
    </row>
    <row r="176" spans="1:27" x14ac:dyDescent="0.2">
      <c r="A176" s="3">
        <v>46243</v>
      </c>
      <c r="B176" s="2">
        <v>507.54</v>
      </c>
      <c r="C176">
        <f t="shared" si="2"/>
        <v>40</v>
      </c>
      <c r="D176">
        <v>624.91</v>
      </c>
      <c r="F176">
        <v>175</v>
      </c>
      <c r="G176" s="3" cm="1">
        <f t="array" ref="G176">TRANSPOSE(_xlfn._xlws.FILTER($A$2:$A$2000, $C$2:$C$2000=F176))</f>
        <v>46303</v>
      </c>
      <c r="AA176" t="str" cm="1">
        <f t="array" ref="AA176">_xlfn.LET(_xlpm.dates, _xlfn._xlws.FILTER(G176:Z176, G176:Z176&lt;&gt;""),_xlpm.sorted,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"&amp;F176&amp;""": ["&amp;_xlpm.result&amp;"]")</f>
        <v>"Tier 175": [{"start": "2026-10-08", "end": "2026-10-08"}]</v>
      </c>
    </row>
    <row r="177" spans="1:27" x14ac:dyDescent="0.2">
      <c r="A177" s="3">
        <v>46244</v>
      </c>
      <c r="B177" s="2">
        <v>498.16</v>
      </c>
      <c r="C177">
        <f t="shared" si="2"/>
        <v>33</v>
      </c>
      <c r="D177">
        <v>625.55999999999995</v>
      </c>
      <c r="F177">
        <v>176</v>
      </c>
      <c r="G177" s="3" cm="1">
        <f t="array" ref="G177:H177">TRANSPOSE(_xlfn._xlws.FILTER($A$2:$A$2000, $C$2:$C$2000=F177))</f>
        <v>46361</v>
      </c>
      <c r="H177" s="3">
        <v>46365</v>
      </c>
      <c r="AA177" t="str" cm="1">
        <f t="array" ref="AA177">_xlfn.LET(_xlpm.dates, _xlfn._xlws.FILTER(G177:Z177, G177:Z177&lt;&gt;""),_xlpm.sorted,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"&amp;F177&amp;""": ["&amp;_xlpm.result&amp;"]")</f>
        <v>"Tier 176": [{"start": "2026-12-05", "end": "2026-12-05"},{"start": "2026-12-09", "end": "2026-12-09"}]</v>
      </c>
    </row>
    <row r="178" spans="1:27" x14ac:dyDescent="0.2">
      <c r="A178" s="3">
        <v>46245</v>
      </c>
      <c r="B178" s="2">
        <v>501.36</v>
      </c>
      <c r="C178">
        <f t="shared" si="2"/>
        <v>36</v>
      </c>
      <c r="D178">
        <v>626.21</v>
      </c>
      <c r="F178">
        <v>177</v>
      </c>
      <c r="G178" s="3" cm="1">
        <f t="array" ref="G178:J178">TRANSPOSE(_xlfn._xlws.FILTER($A$2:$A$2000, $C$2:$C$2000=F178))</f>
        <v>46306</v>
      </c>
      <c r="H178" s="3">
        <v>46309</v>
      </c>
      <c r="I178" s="3">
        <v>46310</v>
      </c>
      <c r="J178" s="3">
        <v>46332</v>
      </c>
      <c r="AA178" t="str" cm="1">
        <f t="array" ref="AA178">_xlfn.LET(_xlpm.dates, _xlfn._xlws.FILTER(G178:Z178, G178:Z178&lt;&gt;""),_xlpm.sorted,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"&amp;F178&amp;""": ["&amp;_xlpm.result&amp;"]")</f>
        <v>"Tier 177": [{"start": "2026-10-11", "end": "2026-10-11"},{"start": "2026-10-14", "end": "2026-10-14"},{"start": "2026-10-15", "end": "2026-10-15"},{"start": "2026-11-06", "end": "2026-11-06"}]</v>
      </c>
    </row>
    <row r="179" spans="1:27" x14ac:dyDescent="0.2">
      <c r="A179" s="3">
        <v>46246</v>
      </c>
      <c r="B179" s="2">
        <v>511.53</v>
      </c>
      <c r="C179">
        <f t="shared" si="2"/>
        <v>43</v>
      </c>
      <c r="D179">
        <v>626.87</v>
      </c>
      <c r="F179">
        <v>178</v>
      </c>
      <c r="G179" s="3" cm="1">
        <f t="array" ref="G179:H179">TRANSPOSE(_xlfn._xlws.FILTER($A$2:$A$2000, $C$2:$C$2000=F179))</f>
        <v>46338</v>
      </c>
      <c r="H179" s="3">
        <v>46355</v>
      </c>
      <c r="AA179" t="str" cm="1">
        <f t="array" ref="AA179">_xlfn.LET(_xlpm.dates, _xlfn._xlws.FILTER(G179:Z179, G179:Z179&lt;&gt;""),_xlpm.sorted,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"&amp;F179&amp;""": ["&amp;_xlpm.result&amp;"]")</f>
        <v>"Tier 178": [{"start": "2026-11-12", "end": "2026-11-12"},{"start": "2026-11-29", "end": "2026-11-29"}]</v>
      </c>
    </row>
    <row r="180" spans="1:27" x14ac:dyDescent="0.2">
      <c r="A180" s="3">
        <v>46247</v>
      </c>
      <c r="B180" s="2">
        <v>522.79999999999995</v>
      </c>
      <c r="C180">
        <f t="shared" si="2"/>
        <v>48</v>
      </c>
      <c r="D180">
        <v>628.83000000000004</v>
      </c>
      <c r="F180">
        <v>179</v>
      </c>
      <c r="G180" s="3" cm="1">
        <f t="array" ref="G180:I180">TRANSPOSE(_xlfn._xlws.FILTER($A$2:$A$2000, $C$2:$C$2000=F180))</f>
        <v>46358</v>
      </c>
      <c r="H180" s="3">
        <v>46359</v>
      </c>
      <c r="I180" s="3">
        <v>46366</v>
      </c>
      <c r="AA180" t="str" cm="1">
        <f t="array" ref="AA180">_xlfn.LET(_xlpm.dates, _xlfn._xlws.FILTER(G180:Z180, G180:Z180&lt;&gt;""),_xlpm.sorted,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"&amp;F180&amp;""": ["&amp;_xlpm.result&amp;"]")</f>
        <v>"Tier 179": [{"start": "2026-12-02", "end": "2026-12-02"},{"start": "2026-12-03", "end": "2026-12-03"},{"start": "2026-12-10", "end": "2026-12-10"}]</v>
      </c>
    </row>
    <row r="181" spans="1:27" x14ac:dyDescent="0.2">
      <c r="A181" s="3">
        <v>46248</v>
      </c>
      <c r="B181" s="2">
        <v>527.24</v>
      </c>
      <c r="C181">
        <f t="shared" si="2"/>
        <v>50</v>
      </c>
      <c r="D181">
        <v>629.48</v>
      </c>
      <c r="F181">
        <v>180</v>
      </c>
      <c r="G181" s="3" cm="1">
        <f t="array" ref="G181">TRANSPOSE(_xlfn._xlws.FILTER($A$2:$A$2000, $C$2:$C$2000=F181))</f>
        <v>46360</v>
      </c>
      <c r="AA181" t="str" cm="1">
        <f t="array" ref="AA181">_xlfn.LET(_xlpm.dates, _xlfn._xlws.FILTER(G181:Z181, G181:Z181&lt;&gt;""),_xlpm.sorted,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"&amp;F181&amp;""": ["&amp;_xlpm.result&amp;"]")</f>
        <v>"Tier 180": [{"start": "2026-12-04", "end": "2026-12-04"}]</v>
      </c>
    </row>
    <row r="182" spans="1:27" x14ac:dyDescent="0.2">
      <c r="A182" s="3">
        <v>46249</v>
      </c>
      <c r="B182" s="2">
        <v>500.48</v>
      </c>
      <c r="C182">
        <f t="shared" si="2"/>
        <v>35</v>
      </c>
      <c r="D182">
        <v>630.14</v>
      </c>
      <c r="F182">
        <v>181</v>
      </c>
      <c r="G182" s="3" cm="1">
        <f t="array" ref="G182">TRANSPOSE(_xlfn._xlws.FILTER($A$2:$A$2000, $C$2:$C$2000=F182))</f>
        <v>46305</v>
      </c>
      <c r="AA182" t="str" cm="1">
        <f t="array" ref="AA182">_xlfn.LET(_xlpm.dates, _xlfn._xlws.FILTER(G182:Z182, G182:Z182&lt;&gt;""),_xlpm.sorted,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"&amp;F182&amp;""": ["&amp;_xlpm.result&amp;"]")</f>
        <v>"Tier 181": [{"start": "2026-10-10", "end": "2026-10-10"}]</v>
      </c>
    </row>
    <row r="183" spans="1:27" x14ac:dyDescent="0.2">
      <c r="A183" s="3">
        <v>46250</v>
      </c>
      <c r="B183" s="2">
        <v>484.38</v>
      </c>
      <c r="C183">
        <f t="shared" si="2"/>
        <v>25</v>
      </c>
      <c r="D183">
        <v>632.75</v>
      </c>
      <c r="F183">
        <v>182</v>
      </c>
      <c r="G183" s="3" cm="1">
        <f t="array" ref="G183:J183">TRANSPOSE(_xlfn._xlws.FILTER($A$2:$A$2000, $C$2:$C$2000=F183))</f>
        <v>46343</v>
      </c>
      <c r="H183" s="3">
        <v>46367</v>
      </c>
      <c r="I183" s="3">
        <v>46370</v>
      </c>
      <c r="J183" s="3">
        <v>46371</v>
      </c>
      <c r="AA183" t="str" cm="1">
        <f t="array" ref="AA183">_xlfn.LET(_xlpm.dates, _xlfn._xlws.FILTER(G183:Z183, G183:Z183&lt;&gt;""),_xlpm.sorted,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"&amp;F183&amp;""": ["&amp;_xlpm.result&amp;"]")</f>
        <v>"Tier 182": [{"start": "2026-11-17", "end": "2026-11-17"},{"start": "2026-12-11", "end": "2026-12-11"},{"start": "2026-12-14", "end": "2026-12-14"},{"start": "2026-12-15", "end": "2026-12-15"}]</v>
      </c>
    </row>
    <row r="184" spans="1:27" x14ac:dyDescent="0.2">
      <c r="A184" s="3">
        <v>46251</v>
      </c>
      <c r="B184" s="2">
        <v>467.02</v>
      </c>
      <c r="C184">
        <f t="shared" si="2"/>
        <v>9</v>
      </c>
      <c r="D184">
        <v>633.4</v>
      </c>
      <c r="F184">
        <v>183</v>
      </c>
      <c r="G184" s="3" cm="1">
        <f t="array" ref="G184:I184">TRANSPOSE(_xlfn._xlws.FILTER($A$2:$A$2000, $C$2:$C$2000=F184))</f>
        <v>46339</v>
      </c>
      <c r="H184" s="3">
        <v>46342</v>
      </c>
      <c r="I184" s="3">
        <v>46369</v>
      </c>
      <c r="AA184" t="str" cm="1">
        <f t="array" ref="AA184">_xlfn.LET(_xlpm.dates, _xlfn._xlws.FILTER(G184:Z184, G184:Z184&lt;&gt;""),_xlpm.sorted,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"&amp;F184&amp;""": ["&amp;_xlpm.result&amp;"]")</f>
        <v>"Tier 183": [{"start": "2026-11-13", "end": "2026-11-13"},{"start": "2026-11-16", "end": "2026-11-16"},{"start": "2026-12-13", "end": "2026-12-13"}]</v>
      </c>
    </row>
    <row r="185" spans="1:27" x14ac:dyDescent="0.2">
      <c r="A185" s="3">
        <v>46252</v>
      </c>
      <c r="B185" s="2">
        <v>448.7</v>
      </c>
      <c r="C185">
        <f t="shared" si="2"/>
        <v>1</v>
      </c>
      <c r="D185">
        <v>634.05999999999995</v>
      </c>
      <c r="F185">
        <v>184</v>
      </c>
      <c r="G185" s="3" cm="1">
        <f t="array" ref="G185:I185">TRANSPOSE(_xlfn._xlws.FILTER($A$2:$A$2000, $C$2:$C$2000=F185))</f>
        <v>46304</v>
      </c>
      <c r="H185" s="3">
        <v>46341</v>
      </c>
      <c r="I185" s="3">
        <v>46354</v>
      </c>
      <c r="AA185" t="str" cm="1">
        <f t="array" ref="AA185">_xlfn.LET(_xlpm.dates, _xlfn._xlws.FILTER(G185:Z185, G185:Z185&lt;&gt;""),_xlpm.sorted,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"&amp;F185&amp;""": ["&amp;_xlpm.result&amp;"]")</f>
        <v>"Tier 184": [{"start": "2026-10-09", "end": "2026-10-09"},{"start": "2026-11-15", "end": "2026-11-15"},{"start": "2026-11-28", "end": "2026-11-28"}]</v>
      </c>
    </row>
    <row r="186" spans="1:27" x14ac:dyDescent="0.2">
      <c r="A186" s="3">
        <v>46253</v>
      </c>
      <c r="B186" s="2">
        <v>458.07</v>
      </c>
      <c r="C186">
        <f t="shared" si="2"/>
        <v>4</v>
      </c>
      <c r="D186">
        <v>635.37</v>
      </c>
      <c r="F186">
        <v>185</v>
      </c>
      <c r="G186" s="3" cm="1">
        <f t="array" ref="G186">TRANSPOSE(_xlfn._xlws.FILTER($A$2:$A$2000, $C$2:$C$2000=F186))</f>
        <v>46368</v>
      </c>
      <c r="AA186" t="str" cm="1">
        <f t="array" ref="AA186">_xlfn.LET(_xlpm.dates, _xlfn._xlws.FILTER(G186:Z186, G186:Z186&lt;&gt;""),_xlpm.sorted,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"&amp;F186&amp;""": ["&amp;_xlpm.result&amp;"]")</f>
        <v>"Tier 185": [{"start": "2026-12-12", "end": "2026-12-12"}]</v>
      </c>
    </row>
    <row r="187" spans="1:27" x14ac:dyDescent="0.2">
      <c r="A187" s="3">
        <v>46254</v>
      </c>
      <c r="B187" s="2">
        <v>461.24</v>
      </c>
      <c r="C187">
        <f t="shared" si="2"/>
        <v>5</v>
      </c>
      <c r="D187">
        <v>636.02</v>
      </c>
      <c r="F187">
        <v>186</v>
      </c>
      <c r="G187" s="3" cm="1">
        <f t="array" ref="G187">TRANSPOSE(_xlfn._xlws.FILTER($A$2:$A$2000, $C$2:$C$2000=F187))</f>
        <v>46340</v>
      </c>
      <c r="AA187" t="str" cm="1">
        <f t="array" ref="AA187">_xlfn.LET(_xlpm.dates, _xlfn._xlws.FILTER(G187:Z187, G187:Z187&lt;&gt;""),_xlpm.sorted,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"&amp;F187&amp;""": ["&amp;_xlpm.result&amp;"]")</f>
        <v>"Tier 186": [{"start": "2026-11-14", "end": "2026-11-14"}]</v>
      </c>
    </row>
    <row r="188" spans="1:27" x14ac:dyDescent="0.2">
      <c r="A188" s="3">
        <v>46255</v>
      </c>
      <c r="B188" s="2">
        <v>462.51</v>
      </c>
      <c r="C188">
        <f t="shared" si="2"/>
        <v>7</v>
      </c>
      <c r="D188">
        <v>637.33000000000004</v>
      </c>
      <c r="F188">
        <v>187</v>
      </c>
      <c r="G188" s="3" cm="1">
        <f t="array" ref="G188:I188">TRANSPOSE(_xlfn._xlws.FILTER($A$2:$A$2000, $C$2:$C$2000=F188))</f>
        <v>46344</v>
      </c>
      <c r="H188" s="3">
        <v>46345</v>
      </c>
      <c r="I188" s="3">
        <v>46372</v>
      </c>
      <c r="AA188" t="str" cm="1">
        <f t="array" ref="AA188">_xlfn.LET(_xlpm.dates, _xlfn._xlws.FILTER(G188:Z188, G188:Z188&lt;&gt;""),_xlpm.sorted,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"&amp;F188&amp;""": ["&amp;_xlpm.result&amp;"]")</f>
        <v>"Tier 187": [{"start": "2026-11-18", "end": "2026-11-18"},{"start": "2026-11-19", "end": "2026-11-19"},{"start": "2026-12-16", "end": "2026-12-16"}]</v>
      </c>
    </row>
    <row r="189" spans="1:27" x14ac:dyDescent="0.2">
      <c r="A189" s="3">
        <v>46256</v>
      </c>
      <c r="B189" s="2">
        <v>471.51</v>
      </c>
      <c r="C189">
        <f t="shared" si="2"/>
        <v>14</v>
      </c>
      <c r="D189">
        <v>640.59</v>
      </c>
      <c r="F189">
        <v>188</v>
      </c>
      <c r="G189" s="3" cm="1">
        <f t="array" ref="G189">TRANSPOSE(_xlfn._xlws.FILTER($A$2:$A$2000, $C$2:$C$2000=F189))</f>
        <v>46373</v>
      </c>
      <c r="AA189" t="str" cm="1">
        <f t="array" ref="AA189">_xlfn.LET(_xlpm.dates, _xlfn._xlws.FILTER(G189:Z189, G189:Z189&lt;&gt;""),_xlpm.sorted,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"&amp;F189&amp;""": ["&amp;_xlpm.result&amp;"]")</f>
        <v>"Tier 188": [{"start": "2026-12-17", "end": "2026-12-17"}]</v>
      </c>
    </row>
    <row r="190" spans="1:27" x14ac:dyDescent="0.2">
      <c r="A190" s="3">
        <v>46257</v>
      </c>
      <c r="B190" s="2">
        <v>470.23</v>
      </c>
      <c r="C190">
        <f t="shared" si="2"/>
        <v>13</v>
      </c>
      <c r="D190">
        <v>641.25</v>
      </c>
      <c r="F190">
        <v>189</v>
      </c>
      <c r="G190" s="3" cm="1">
        <f t="array" ref="G190">TRANSPOSE(_xlfn._xlws.FILTER($A$2:$A$2000, $C$2:$C$2000=F190))</f>
        <v>46353</v>
      </c>
      <c r="AA190" t="str" cm="1">
        <f t="array" ref="AA190">_xlfn.LET(_xlpm.dates, _xlfn._xlws.FILTER(G190:Z190, G190:Z190&lt;&gt;""),_xlpm.sorted,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"&amp;F190&amp;""": ["&amp;_xlpm.result&amp;"]")</f>
        <v>"Tier 189": [{"start": "2026-11-27", "end": "2026-11-27"}]</v>
      </c>
    </row>
    <row r="191" spans="1:27" x14ac:dyDescent="0.2">
      <c r="A191" s="3">
        <v>46258</v>
      </c>
      <c r="B191" s="2">
        <v>466.98</v>
      </c>
      <c r="C191">
        <f t="shared" si="2"/>
        <v>8</v>
      </c>
      <c r="D191">
        <v>643.28</v>
      </c>
      <c r="F191">
        <v>190</v>
      </c>
      <c r="G191" s="3" cm="1">
        <f t="array" ref="G191">TRANSPOSE(_xlfn._xlws.FILTER($A$2:$A$2000, $C$2:$C$2000=F191))</f>
        <v>46348</v>
      </c>
      <c r="AA191" t="str" cm="1">
        <f t="array" ref="AA191">_xlfn.LET(_xlpm.dates, _xlfn._xlws.FILTER(G191:Z191, G191:Z191&lt;&gt;""),_xlpm.sorted,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"&amp;F191&amp;""": ["&amp;_xlpm.result&amp;"]")</f>
        <v>"Tier 190": [{"start": "2026-11-22", "end": "2026-11-22"}]</v>
      </c>
    </row>
    <row r="192" spans="1:27" x14ac:dyDescent="0.2">
      <c r="A192" s="3">
        <v>46259</v>
      </c>
      <c r="B192" s="2">
        <v>477.16</v>
      </c>
      <c r="C192">
        <f t="shared" si="2"/>
        <v>18</v>
      </c>
      <c r="D192">
        <v>646.55999999999995</v>
      </c>
      <c r="F192">
        <v>191</v>
      </c>
      <c r="G192" s="3" cm="1">
        <f t="array" ref="G192">TRANSPOSE(_xlfn._xlws.FILTER($A$2:$A$2000, $C$2:$C$2000=F192))</f>
        <v>46350</v>
      </c>
      <c r="AA192" t="str" cm="1">
        <f t="array" ref="AA192">_xlfn.LET(_xlpm.dates, _xlfn._xlws.FILTER(G192:Z192, G192:Z192&lt;&gt;""),_xlpm.sorted,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"&amp;F192&amp;""": ["&amp;_xlpm.result&amp;"]")</f>
        <v>"Tier 191": [{"start": "2026-11-24", "end": "2026-11-24"}]</v>
      </c>
    </row>
    <row r="193" spans="1:27" x14ac:dyDescent="0.2">
      <c r="A193" s="3">
        <v>46260</v>
      </c>
      <c r="B193" s="2">
        <v>488.62</v>
      </c>
      <c r="C193">
        <f t="shared" si="2"/>
        <v>27</v>
      </c>
      <c r="D193">
        <v>647.24</v>
      </c>
      <c r="F193">
        <v>192</v>
      </c>
      <c r="G193" s="3" cm="1">
        <f t="array" ref="G193:I193">TRANSPOSE(_xlfn._xlws.FILTER($A$2:$A$2000, $C$2:$C$2000=F193))</f>
        <v>46346</v>
      </c>
      <c r="H193" s="3">
        <v>46347</v>
      </c>
      <c r="I193" s="3">
        <v>46349</v>
      </c>
      <c r="AA193" t="str" cm="1">
        <f t="array" ref="AA193">_xlfn.LET(_xlpm.dates, _xlfn._xlws.FILTER(G193:Z193, G193:Z193&lt;&gt;""),_xlpm.sorted,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"&amp;F193&amp;""": ["&amp;_xlpm.result&amp;"]")</f>
        <v>"Tier 192": [{"start": "2026-11-20", "end": "2026-11-20"},{"start": "2026-11-21", "end": "2026-11-21"},{"start": "2026-11-23", "end": "2026-11-23"}]</v>
      </c>
    </row>
    <row r="194" spans="1:27" x14ac:dyDescent="0.2">
      <c r="A194" s="3">
        <v>46261</v>
      </c>
      <c r="B194" s="2">
        <v>493.08</v>
      </c>
      <c r="C194">
        <f t="shared" si="2"/>
        <v>30</v>
      </c>
      <c r="D194">
        <v>649.87</v>
      </c>
      <c r="F194">
        <v>193</v>
      </c>
      <c r="G194" s="3" cm="1">
        <f t="array" ref="G194">TRANSPOSE(_xlfn._xlws.FILTER($A$2:$A$2000, $C$2:$C$2000=F194))</f>
        <v>46374</v>
      </c>
      <c r="AA194" t="str" cm="1">
        <f t="array" ref="AA194">_xlfn.LET(_xlpm.dates, _xlfn._xlws.FILTER(G194:Z194, G194:Z194&lt;&gt;""),_xlpm.sorted,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"&amp;F194&amp;""": ["&amp;_xlpm.result&amp;"]")</f>
        <v>"Tier 193": [{"start": "2026-12-18", "end": "2026-12-18"}]</v>
      </c>
    </row>
    <row r="195" spans="1:27" x14ac:dyDescent="0.2">
      <c r="A195" s="3">
        <v>46262</v>
      </c>
      <c r="B195" s="2">
        <v>505.61</v>
      </c>
      <c r="C195">
        <f t="shared" ref="C195:C258" si="3">MATCH(B195, $D$1:$D$213, 0)-1</f>
        <v>39</v>
      </c>
      <c r="D195">
        <v>650.53</v>
      </c>
      <c r="F195">
        <v>194</v>
      </c>
      <c r="G195" s="3" cm="1">
        <f t="array" ref="G195">TRANSPOSE(_xlfn._xlws.FILTER($A$2:$A$2000, $C$2:$C$2000=F195))</f>
        <v>46351</v>
      </c>
      <c r="AA195" t="str" cm="1">
        <f t="array" ref="AA195">_xlfn.LET(_xlpm.dates, _xlfn._xlws.FILTER(G195:Z195, G195:Z195&lt;&gt;""),_xlpm.sorted,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"&amp;F195&amp;""": ["&amp;_xlpm.result&amp;"]")</f>
        <v>"Tier 194": [{"start": "2026-11-25", "end": "2026-11-25"}]</v>
      </c>
    </row>
    <row r="196" spans="1:27" x14ac:dyDescent="0.2">
      <c r="A196" s="3">
        <v>46263</v>
      </c>
      <c r="B196" s="2">
        <v>503.42</v>
      </c>
      <c r="C196">
        <f t="shared" si="3"/>
        <v>38</v>
      </c>
      <c r="D196">
        <v>652.53</v>
      </c>
      <c r="F196">
        <v>195</v>
      </c>
      <c r="G196" s="3" cm="1">
        <f t="array" ref="G196">TRANSPOSE(_xlfn._xlws.FILTER($A$2:$A$2000, $C$2:$C$2000=F196))</f>
        <v>46387</v>
      </c>
      <c r="AA196" t="str" cm="1">
        <f t="array" ref="AA196">_xlfn.LET(_xlpm.dates, _xlfn._xlws.FILTER(G196:Z196, G196:Z196&lt;&gt;""),_xlpm.sorted,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"&amp;F196&amp;""": ["&amp;_xlpm.result&amp;"]")</f>
        <v>"Tier 195": [{"start": "2026-12-31", "end": "2026-12-31"}]</v>
      </c>
    </row>
    <row r="197" spans="1:27" x14ac:dyDescent="0.2">
      <c r="A197" s="3">
        <v>46264</v>
      </c>
      <c r="B197" s="1">
        <v>485.67</v>
      </c>
      <c r="C197">
        <f t="shared" si="3"/>
        <v>26</v>
      </c>
      <c r="D197">
        <v>653.85</v>
      </c>
      <c r="F197">
        <v>196</v>
      </c>
      <c r="G197" s="3" cm="1">
        <f t="array" ref="G197:I197">TRANSPOSE(_xlfn._xlws.FILTER($A$2:$A$2000, $C$2:$C$2000=F197))</f>
        <v>46352</v>
      </c>
      <c r="H197" s="3">
        <v>46375</v>
      </c>
      <c r="I197" s="3">
        <v>46376</v>
      </c>
      <c r="AA197" t="str" cm="1">
        <f t="array" ref="AA197">_xlfn.LET(_xlpm.dates, _xlfn._xlws.FILTER(G197:Z197, G197:Z197&lt;&gt;""),_xlpm.sorted,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"&amp;F197&amp;""": ["&amp;_xlpm.result&amp;"]")</f>
        <v>"Tier 196": [{"start": "2026-11-26", "end": "2026-11-26"},{"start": "2026-12-19", "end": "2026-12-19"},{"start": "2026-12-20", "end": "2026-12-20"}]</v>
      </c>
    </row>
    <row r="198" spans="1:27" x14ac:dyDescent="0.2">
      <c r="A198" s="3">
        <v>46265</v>
      </c>
      <c r="B198" s="1">
        <v>477.96</v>
      </c>
      <c r="C198">
        <f t="shared" si="3"/>
        <v>19</v>
      </c>
      <c r="D198">
        <v>654.49</v>
      </c>
      <c r="F198">
        <v>197</v>
      </c>
      <c r="G198" s="3" cm="1">
        <f t="array" ref="G198">TRANSPOSE(_xlfn._xlws.FILTER($A$2:$A$2000, $C$2:$C$2000=F198))</f>
        <v>46377</v>
      </c>
      <c r="AA198" t="str" cm="1">
        <f t="array" ref="AA198">_xlfn.LET(_xlpm.dates, _xlfn._xlws.FILTER(G198:Z198, G198:Z198&lt;&gt;""),_xlpm.sorted,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"&amp;F198&amp;""": ["&amp;_xlpm.result&amp;"]")</f>
        <v>"Tier 197": [{"start": "2026-12-21", "end": "2026-12-21"}]</v>
      </c>
    </row>
    <row r="199" spans="1:27" x14ac:dyDescent="0.2">
      <c r="A199" s="3">
        <v>46266</v>
      </c>
      <c r="B199" s="2">
        <v>469.52</v>
      </c>
      <c r="C199">
        <f t="shared" si="3"/>
        <v>11</v>
      </c>
      <c r="D199">
        <v>655.16</v>
      </c>
      <c r="F199">
        <v>198</v>
      </c>
      <c r="G199" s="3" cm="1">
        <f t="array" ref="G199:L199">TRANSPOSE(_xlfn._xlws.FILTER($A$2:$A$2000, $C$2:$C$2000=F199))</f>
        <v>46378</v>
      </c>
      <c r="H199" s="3">
        <v>46379</v>
      </c>
      <c r="I199" s="3">
        <v>46380</v>
      </c>
      <c r="J199" s="3">
        <v>46381</v>
      </c>
      <c r="K199" s="3">
        <v>46382</v>
      </c>
      <c r="L199" s="3">
        <v>46383</v>
      </c>
      <c r="AA199" t="str" cm="1">
        <f t="array" ref="AA199">_xlfn.LET(_xlpm.dates, _xlfn._xlws.FILTER(G199:Z199, G199:Z199&lt;&gt;""),_xlpm.sorted,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"&amp;F199&amp;""": ["&amp;_xlpm.result&amp;"]")</f>
        <v>"Tier 198": [{"start": "2026-12-22", "end": "2026-12-22"},{"start": "2026-12-23", "end": "2026-12-23"},{"start": "2026-12-24", "end": "2026-12-24"},{"start": "2026-12-25", "end": "2026-12-25"},{"start": "2026-12-26", "end": "2026-12-26"},{"start": "2026-12-27", "end": "2026-12-27"}]</v>
      </c>
    </row>
    <row r="200" spans="1:27" x14ac:dyDescent="0.2">
      <c r="A200" s="3">
        <v>46267</v>
      </c>
      <c r="B200" s="2">
        <v>478.43</v>
      </c>
      <c r="C200">
        <f t="shared" si="3"/>
        <v>20</v>
      </c>
      <c r="D200">
        <v>656.49</v>
      </c>
      <c r="F200">
        <v>199</v>
      </c>
      <c r="G200" s="3" cm="1">
        <f t="array" ref="G200">TRANSPOSE(_xlfn._xlws.FILTER($A$2:$A$2000, $C$2:$C$2000=F200))</f>
        <v>46386</v>
      </c>
      <c r="AA200" t="str" cm="1">
        <f t="array" ref="AA200">_xlfn.LET(_xlpm.dates, _xlfn._xlws.FILTER(G200:Z200, G200:Z200&lt;&gt;""),_xlpm.sorted,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"&amp;F200&amp;""": ["&amp;_xlpm.result&amp;"]")</f>
        <v>"Tier 199": [{"start": "2026-12-30", "end": "2026-12-30"}]</v>
      </c>
    </row>
    <row r="201" spans="1:27" x14ac:dyDescent="0.2">
      <c r="A201" s="3">
        <v>46268</v>
      </c>
      <c r="B201" s="2">
        <v>495.42</v>
      </c>
      <c r="C201">
        <f t="shared" si="3"/>
        <v>32</v>
      </c>
      <c r="D201">
        <v>657.15</v>
      </c>
      <c r="F201">
        <v>200</v>
      </c>
      <c r="G201" s="3" cm="1">
        <f t="array" ref="G201:H201">TRANSPOSE(_xlfn._xlws.FILTER($A$2:$A$2000, $C$2:$C$2000=F201))</f>
        <v>46384</v>
      </c>
      <c r="H201" s="3">
        <v>46385</v>
      </c>
      <c r="AA201" t="str" cm="1">
        <f t="array" ref="AA201">_xlfn.LET(_xlpm.dates, _xlfn._xlws.FILTER(G201:Z201, G201:Z201&lt;&gt;""),_xlpm.sorted,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"&amp;F201&amp;""": ["&amp;_xlpm.result&amp;"]")</f>
        <v>"Tier 200": [{"start": "2026-12-28", "end": "2026-12-28"},{"start": "2026-12-29", "end": "2026-12-29"}]</v>
      </c>
    </row>
    <row r="202" spans="1:27" x14ac:dyDescent="0.2">
      <c r="A202" s="3">
        <v>46269</v>
      </c>
      <c r="B202" s="2">
        <v>512.42999999999995</v>
      </c>
      <c r="C202">
        <f t="shared" si="3"/>
        <v>44</v>
      </c>
      <c r="D202">
        <v>0</v>
      </c>
      <c r="F202">
        <v>201</v>
      </c>
      <c r="G202" s="3" cm="1">
        <f t="array" ref="G202">TRANSPOSE(_xlfn._xlws.FILTER($A$2:$A$2000, $C$2:$C$2000=F202))</f>
        <v>46069</v>
      </c>
      <c r="AA202" t="str" cm="1">
        <f t="array" ref="AA202">_xlfn.LET(_xlpm.dates, _xlfn._xlws.FILTER(G202:Z202, G202:Z202&lt;&gt;""),_xlpm.sorted, _xlfn._xlws.SORT(_xlpm.dates),_xlpm.breaks,IF((_xlpm.sorted&lt;&gt;_xlfn._xlws.SORT(_xlpm.sorted)-1),1,0),_xlpm.groups, _xlfn.SCAN(0,_xlpm.breaks,_xlfn.LAMBDA(_xlpm.a,_xlpm.b,_xlpm.a+_xlpm.b)),_xlpm.startDates, _xlfn.UNIQUE(_xlpm.groups),
_xlpm.result,_xlfn.TEXTJOIN(",",TRUE,_xlfn.MAP(_xlpm.startDates,_xlfn.LAMBDA(_xlpm.g,_xlfn.LET(_xlpm.block, _xlfn._xlws.FILTER(_xlpm.sorted, _xlpm.groups=_xlpm.g),"{""start"": """&amp;TEXT(MIN(_xlpm.block),"yyyy-mm-dd")&amp;
""", ""end"": """&amp;TEXT(MAX(_xlpm.block),"yyyy-mm-dd")&amp;"""}")))),"""Tier "&amp;F202&amp;""": ["&amp;_xlpm.result&amp;"]")</f>
        <v>"Tier 201": [{"start": "2026-02-16", "end": "2026-02-16"}]</v>
      </c>
    </row>
    <row r="203" spans="1:27" x14ac:dyDescent="0.2">
      <c r="A203" s="3">
        <v>46270</v>
      </c>
      <c r="B203" s="2">
        <v>503.42</v>
      </c>
      <c r="C203">
        <f t="shared" si="3"/>
        <v>38</v>
      </c>
      <c r="F203">
        <v>0</v>
      </c>
    </row>
    <row r="204" spans="1:27" x14ac:dyDescent="0.2">
      <c r="A204" s="3">
        <v>46271</v>
      </c>
      <c r="B204" s="2">
        <v>482.45</v>
      </c>
      <c r="C204">
        <f t="shared" si="3"/>
        <v>24</v>
      </c>
    </row>
    <row r="205" spans="1:27" x14ac:dyDescent="0.2">
      <c r="A205" s="3">
        <v>46272</v>
      </c>
      <c r="B205" s="2">
        <v>467.02</v>
      </c>
      <c r="C205">
        <f t="shared" si="3"/>
        <v>9</v>
      </c>
    </row>
    <row r="206" spans="1:27" x14ac:dyDescent="0.2">
      <c r="A206" s="3">
        <v>46273</v>
      </c>
      <c r="B206" s="2">
        <v>451.05</v>
      </c>
      <c r="C206">
        <f t="shared" si="3"/>
        <v>2</v>
      </c>
    </row>
    <row r="207" spans="1:27" x14ac:dyDescent="0.2">
      <c r="A207" s="3">
        <v>46274</v>
      </c>
      <c r="B207" s="2">
        <v>456.79</v>
      </c>
      <c r="C207">
        <f t="shared" si="3"/>
        <v>3</v>
      </c>
    </row>
    <row r="208" spans="1:27" x14ac:dyDescent="0.2">
      <c r="A208" s="3">
        <v>46275</v>
      </c>
      <c r="B208" s="2">
        <v>472.52</v>
      </c>
      <c r="C208">
        <f t="shared" si="3"/>
        <v>15</v>
      </c>
    </row>
    <row r="209" spans="1:3" x14ac:dyDescent="0.2">
      <c r="A209" s="3">
        <v>46276</v>
      </c>
      <c r="B209" s="2">
        <v>482.18</v>
      </c>
      <c r="C209">
        <f t="shared" si="3"/>
        <v>23</v>
      </c>
    </row>
    <row r="210" spans="1:3" x14ac:dyDescent="0.2">
      <c r="A210" s="3">
        <v>46277</v>
      </c>
      <c r="B210" s="2">
        <v>472.8</v>
      </c>
      <c r="C210">
        <f t="shared" si="3"/>
        <v>16</v>
      </c>
    </row>
    <row r="211" spans="1:3" x14ac:dyDescent="0.2">
      <c r="A211" s="3">
        <v>46278</v>
      </c>
      <c r="B211" s="2">
        <v>469.59</v>
      </c>
      <c r="C211">
        <f t="shared" si="3"/>
        <v>12</v>
      </c>
    </row>
    <row r="212" spans="1:3" x14ac:dyDescent="0.2">
      <c r="A212" s="3">
        <v>46279</v>
      </c>
      <c r="B212" s="2">
        <v>462.02</v>
      </c>
      <c r="C212">
        <f t="shared" si="3"/>
        <v>6</v>
      </c>
    </row>
    <row r="213" spans="1:3" x14ac:dyDescent="0.2">
      <c r="A213" s="3">
        <v>46280</v>
      </c>
      <c r="B213" s="2">
        <v>467.62</v>
      </c>
      <c r="C213">
        <f t="shared" si="3"/>
        <v>10</v>
      </c>
    </row>
    <row r="214" spans="1:3" x14ac:dyDescent="0.2">
      <c r="A214" s="3">
        <v>46281</v>
      </c>
      <c r="B214" s="2">
        <v>477.16</v>
      </c>
      <c r="C214">
        <f t="shared" si="3"/>
        <v>18</v>
      </c>
    </row>
    <row r="215" spans="1:3" x14ac:dyDescent="0.2">
      <c r="A215" s="3">
        <v>46282</v>
      </c>
      <c r="B215" s="2">
        <v>491.61</v>
      </c>
      <c r="C215">
        <f t="shared" si="3"/>
        <v>29</v>
      </c>
    </row>
    <row r="216" spans="1:3" x14ac:dyDescent="0.2">
      <c r="A216" s="3">
        <v>46283</v>
      </c>
      <c r="B216" s="2">
        <v>500.21</v>
      </c>
      <c r="C216">
        <f t="shared" si="3"/>
        <v>34</v>
      </c>
    </row>
    <row r="217" spans="1:3" x14ac:dyDescent="0.2">
      <c r="A217" s="3">
        <v>46284</v>
      </c>
      <c r="B217" s="2">
        <v>493.76</v>
      </c>
      <c r="C217">
        <f t="shared" si="3"/>
        <v>31</v>
      </c>
    </row>
    <row r="218" spans="1:3" x14ac:dyDescent="0.2">
      <c r="A218" s="3">
        <v>46285</v>
      </c>
      <c r="B218" s="2">
        <v>480.53</v>
      </c>
      <c r="C218">
        <f t="shared" si="3"/>
        <v>22</v>
      </c>
    </row>
    <row r="219" spans="1:3" x14ac:dyDescent="0.2">
      <c r="A219" s="3">
        <v>46286</v>
      </c>
      <c r="B219" s="2">
        <v>476.65</v>
      </c>
      <c r="C219">
        <f t="shared" si="3"/>
        <v>17</v>
      </c>
    </row>
    <row r="220" spans="1:3" x14ac:dyDescent="0.2">
      <c r="A220" s="3">
        <v>46287</v>
      </c>
      <c r="B220" s="2">
        <v>479.22</v>
      </c>
      <c r="C220">
        <f t="shared" si="3"/>
        <v>21</v>
      </c>
    </row>
    <row r="221" spans="1:3" x14ac:dyDescent="0.2">
      <c r="A221" s="3">
        <v>46288</v>
      </c>
      <c r="B221" s="2">
        <v>489.89</v>
      </c>
      <c r="C221">
        <f t="shared" si="3"/>
        <v>28</v>
      </c>
    </row>
    <row r="222" spans="1:3" x14ac:dyDescent="0.2">
      <c r="A222" s="3">
        <v>46289</v>
      </c>
      <c r="B222" s="2">
        <v>502.43</v>
      </c>
      <c r="C222">
        <f t="shared" si="3"/>
        <v>37</v>
      </c>
    </row>
    <row r="223" spans="1:3" x14ac:dyDescent="0.2">
      <c r="A223" s="3">
        <v>46290</v>
      </c>
      <c r="B223" s="2">
        <v>509.86</v>
      </c>
      <c r="C223">
        <f t="shared" si="3"/>
        <v>41</v>
      </c>
    </row>
    <row r="224" spans="1:3" x14ac:dyDescent="0.2">
      <c r="A224" s="3">
        <v>46291</v>
      </c>
      <c r="B224" s="2">
        <v>511.15</v>
      </c>
      <c r="C224">
        <f t="shared" si="3"/>
        <v>42</v>
      </c>
    </row>
    <row r="225" spans="1:3" x14ac:dyDescent="0.2">
      <c r="A225" s="3">
        <v>46292</v>
      </c>
      <c r="B225" s="1">
        <v>532.48</v>
      </c>
      <c r="C225">
        <f t="shared" si="3"/>
        <v>53</v>
      </c>
    </row>
    <row r="226" spans="1:3" x14ac:dyDescent="0.2">
      <c r="A226" s="3">
        <v>46293</v>
      </c>
      <c r="B226" s="1">
        <v>554.03</v>
      </c>
      <c r="C226">
        <f t="shared" si="3"/>
        <v>66</v>
      </c>
    </row>
    <row r="227" spans="1:3" x14ac:dyDescent="0.2">
      <c r="A227" s="3">
        <v>46294</v>
      </c>
      <c r="B227" s="1">
        <v>574.29999999999995</v>
      </c>
      <c r="C227">
        <f t="shared" si="3"/>
        <v>81</v>
      </c>
    </row>
    <row r="228" spans="1:3" x14ac:dyDescent="0.2">
      <c r="A228" s="3">
        <v>46295</v>
      </c>
      <c r="B228" s="1">
        <v>590.64</v>
      </c>
      <c r="C228">
        <f t="shared" si="3"/>
        <v>105</v>
      </c>
    </row>
    <row r="229" spans="1:3" x14ac:dyDescent="0.2">
      <c r="A229" s="3">
        <v>46296</v>
      </c>
      <c r="B229" s="1">
        <v>600.44000000000005</v>
      </c>
      <c r="C229">
        <f t="shared" si="3"/>
        <v>126</v>
      </c>
    </row>
    <row r="230" spans="1:3" x14ac:dyDescent="0.2">
      <c r="A230" s="3">
        <v>46297</v>
      </c>
      <c r="B230" s="1">
        <v>605.03</v>
      </c>
      <c r="C230">
        <f t="shared" si="3"/>
        <v>141</v>
      </c>
    </row>
    <row r="231" spans="1:3" x14ac:dyDescent="0.2">
      <c r="A231" s="3">
        <v>46298</v>
      </c>
      <c r="B231" s="1">
        <v>604.36</v>
      </c>
      <c r="C231">
        <f t="shared" si="3"/>
        <v>139</v>
      </c>
    </row>
    <row r="232" spans="1:3" x14ac:dyDescent="0.2">
      <c r="A232" s="3">
        <v>46299</v>
      </c>
      <c r="B232" s="1">
        <v>606.98</v>
      </c>
      <c r="C232">
        <f t="shared" si="3"/>
        <v>146</v>
      </c>
    </row>
    <row r="233" spans="1:3" x14ac:dyDescent="0.2">
      <c r="A233" s="3">
        <v>46300</v>
      </c>
      <c r="B233" s="1">
        <v>599.79</v>
      </c>
      <c r="C233">
        <f t="shared" si="3"/>
        <v>124</v>
      </c>
    </row>
    <row r="234" spans="1:3" x14ac:dyDescent="0.2">
      <c r="A234" s="3">
        <v>46301</v>
      </c>
      <c r="B234" s="1">
        <v>613.14</v>
      </c>
      <c r="C234">
        <f t="shared" si="3"/>
        <v>160</v>
      </c>
    </row>
    <row r="235" spans="1:3" x14ac:dyDescent="0.2">
      <c r="A235" s="3">
        <v>46302</v>
      </c>
      <c r="B235" s="1">
        <v>620.97</v>
      </c>
      <c r="C235">
        <f t="shared" si="3"/>
        <v>169</v>
      </c>
    </row>
    <row r="236" spans="1:3" x14ac:dyDescent="0.2">
      <c r="A236" s="3">
        <v>46303</v>
      </c>
      <c r="B236" s="1">
        <v>624.91</v>
      </c>
      <c r="C236">
        <f t="shared" si="3"/>
        <v>175</v>
      </c>
    </row>
    <row r="237" spans="1:3" x14ac:dyDescent="0.2">
      <c r="A237" s="3">
        <v>46304</v>
      </c>
      <c r="B237" s="1">
        <v>634.05999999999995</v>
      </c>
      <c r="C237">
        <f t="shared" si="3"/>
        <v>184</v>
      </c>
    </row>
    <row r="238" spans="1:3" x14ac:dyDescent="0.2">
      <c r="A238" s="3">
        <v>46305</v>
      </c>
      <c r="B238" s="1">
        <v>630.14</v>
      </c>
      <c r="C238">
        <f t="shared" si="3"/>
        <v>181</v>
      </c>
    </row>
    <row r="239" spans="1:3" x14ac:dyDescent="0.2">
      <c r="A239" s="3">
        <v>46306</v>
      </c>
      <c r="B239" s="1">
        <v>626.21</v>
      </c>
      <c r="C239">
        <f t="shared" si="3"/>
        <v>177</v>
      </c>
    </row>
    <row r="240" spans="1:3" x14ac:dyDescent="0.2">
      <c r="A240" s="3">
        <v>46307</v>
      </c>
      <c r="B240" s="1">
        <v>621.64</v>
      </c>
      <c r="C240">
        <f t="shared" si="3"/>
        <v>170</v>
      </c>
    </row>
    <row r="241" spans="1:3" x14ac:dyDescent="0.2">
      <c r="A241" s="3">
        <v>46308</v>
      </c>
      <c r="B241" s="1">
        <v>622.95000000000005</v>
      </c>
      <c r="C241">
        <f t="shared" si="3"/>
        <v>173</v>
      </c>
    </row>
    <row r="242" spans="1:3" x14ac:dyDescent="0.2">
      <c r="A242" s="3">
        <v>46309</v>
      </c>
      <c r="B242" s="1">
        <v>626.21</v>
      </c>
      <c r="C242">
        <f t="shared" si="3"/>
        <v>177</v>
      </c>
    </row>
    <row r="243" spans="1:3" x14ac:dyDescent="0.2">
      <c r="A243" s="3">
        <v>46310</v>
      </c>
      <c r="B243" s="1">
        <v>626.21</v>
      </c>
      <c r="C243">
        <f t="shared" si="3"/>
        <v>177</v>
      </c>
    </row>
    <row r="244" spans="1:3" x14ac:dyDescent="0.2">
      <c r="A244" s="3">
        <v>46311</v>
      </c>
      <c r="B244" s="1">
        <v>623.6</v>
      </c>
      <c r="C244">
        <f t="shared" si="3"/>
        <v>174</v>
      </c>
    </row>
    <row r="245" spans="1:3" x14ac:dyDescent="0.2">
      <c r="A245" s="3">
        <v>46312</v>
      </c>
      <c r="B245" s="1">
        <v>616.41</v>
      </c>
      <c r="C245">
        <f t="shared" si="3"/>
        <v>164</v>
      </c>
    </row>
    <row r="246" spans="1:3" x14ac:dyDescent="0.2">
      <c r="A246" s="3">
        <v>46313</v>
      </c>
      <c r="B246" s="1">
        <v>610.51</v>
      </c>
      <c r="C246">
        <f t="shared" si="3"/>
        <v>154</v>
      </c>
    </row>
    <row r="247" spans="1:3" x14ac:dyDescent="0.2">
      <c r="A247" s="3">
        <v>46314</v>
      </c>
      <c r="B247" s="1">
        <v>609.87</v>
      </c>
      <c r="C247">
        <f t="shared" si="3"/>
        <v>152</v>
      </c>
    </row>
    <row r="248" spans="1:3" x14ac:dyDescent="0.2">
      <c r="A248" s="3">
        <v>46315</v>
      </c>
      <c r="B248" s="1">
        <v>616.41</v>
      </c>
      <c r="C248">
        <f t="shared" si="3"/>
        <v>164</v>
      </c>
    </row>
    <row r="249" spans="1:3" x14ac:dyDescent="0.2">
      <c r="A249" s="3">
        <v>46316</v>
      </c>
      <c r="B249" s="1">
        <v>622.95000000000005</v>
      </c>
      <c r="C249">
        <f t="shared" si="3"/>
        <v>173</v>
      </c>
    </row>
    <row r="250" spans="1:3" x14ac:dyDescent="0.2">
      <c r="A250" s="3">
        <v>46317</v>
      </c>
      <c r="B250" s="1">
        <v>622.95000000000005</v>
      </c>
      <c r="C250">
        <f t="shared" si="3"/>
        <v>173</v>
      </c>
    </row>
    <row r="251" spans="1:3" x14ac:dyDescent="0.2">
      <c r="A251" s="3">
        <v>46318</v>
      </c>
      <c r="B251" s="1">
        <v>617.70000000000005</v>
      </c>
      <c r="C251">
        <f t="shared" si="3"/>
        <v>166</v>
      </c>
    </row>
    <row r="252" spans="1:3" x14ac:dyDescent="0.2">
      <c r="A252" s="3">
        <v>46319</v>
      </c>
      <c r="B252" s="1">
        <v>610.51</v>
      </c>
      <c r="C252">
        <f t="shared" si="3"/>
        <v>154</v>
      </c>
    </row>
    <row r="253" spans="1:3" x14ac:dyDescent="0.2">
      <c r="A253" s="3">
        <v>46320</v>
      </c>
      <c r="B253" s="1">
        <v>601.36</v>
      </c>
      <c r="C253">
        <f t="shared" si="3"/>
        <v>129</v>
      </c>
    </row>
    <row r="254" spans="1:3" x14ac:dyDescent="0.2">
      <c r="A254" s="3">
        <v>46321</v>
      </c>
      <c r="B254" s="1">
        <v>594.55999999999995</v>
      </c>
      <c r="C254">
        <f t="shared" si="3"/>
        <v>114</v>
      </c>
    </row>
    <row r="255" spans="1:3" x14ac:dyDescent="0.2">
      <c r="A255" s="3">
        <v>46322</v>
      </c>
      <c r="B255" s="1">
        <v>603.04999999999995</v>
      </c>
      <c r="C255">
        <f t="shared" si="3"/>
        <v>134</v>
      </c>
    </row>
    <row r="256" spans="1:3" x14ac:dyDescent="0.2">
      <c r="A256" s="3">
        <v>46323</v>
      </c>
      <c r="B256" s="1">
        <v>610.9</v>
      </c>
      <c r="C256">
        <f t="shared" si="3"/>
        <v>155</v>
      </c>
    </row>
    <row r="257" spans="1:3" x14ac:dyDescent="0.2">
      <c r="A257" s="3">
        <v>46324</v>
      </c>
      <c r="B257" s="1">
        <v>616.14</v>
      </c>
      <c r="C257">
        <f t="shared" si="3"/>
        <v>163</v>
      </c>
    </row>
    <row r="258" spans="1:3" x14ac:dyDescent="0.2">
      <c r="A258" s="3">
        <v>46325</v>
      </c>
      <c r="B258" s="1">
        <v>616.14</v>
      </c>
      <c r="C258">
        <f t="shared" si="3"/>
        <v>163</v>
      </c>
    </row>
    <row r="259" spans="1:3" x14ac:dyDescent="0.2">
      <c r="A259" s="3">
        <v>46326</v>
      </c>
      <c r="B259" s="1">
        <v>606.98</v>
      </c>
      <c r="C259">
        <f t="shared" ref="C259:C320" si="4">MATCH(B259, $D$1:$D$213, 0)-1</f>
        <v>146</v>
      </c>
    </row>
    <row r="260" spans="1:3" x14ac:dyDescent="0.2">
      <c r="A260" s="3">
        <v>46327</v>
      </c>
      <c r="B260" s="2">
        <v>596.52</v>
      </c>
      <c r="C260">
        <f t="shared" si="4"/>
        <v>118</v>
      </c>
    </row>
    <row r="261" spans="1:3" x14ac:dyDescent="0.2">
      <c r="A261" s="3">
        <v>46328</v>
      </c>
      <c r="B261" s="2">
        <v>594.55999999999995</v>
      </c>
      <c r="C261">
        <f t="shared" si="4"/>
        <v>114</v>
      </c>
    </row>
    <row r="262" spans="1:3" x14ac:dyDescent="0.2">
      <c r="A262" s="3">
        <v>46329</v>
      </c>
      <c r="B262" s="2">
        <v>599.79</v>
      </c>
      <c r="C262">
        <f t="shared" si="4"/>
        <v>124</v>
      </c>
    </row>
    <row r="263" spans="1:3" x14ac:dyDescent="0.2">
      <c r="A263" s="3">
        <v>46330</v>
      </c>
      <c r="B263" s="2">
        <v>611.57000000000005</v>
      </c>
      <c r="C263">
        <f t="shared" si="4"/>
        <v>157</v>
      </c>
    </row>
    <row r="264" spans="1:3" x14ac:dyDescent="0.2">
      <c r="A264" s="3">
        <v>46331</v>
      </c>
      <c r="B264" s="2">
        <v>622.02</v>
      </c>
      <c r="C264">
        <f t="shared" si="4"/>
        <v>171</v>
      </c>
    </row>
    <row r="265" spans="1:3" x14ac:dyDescent="0.2">
      <c r="A265" s="3">
        <v>46332</v>
      </c>
      <c r="B265" s="2">
        <v>626.21</v>
      </c>
      <c r="C265">
        <f t="shared" si="4"/>
        <v>177</v>
      </c>
    </row>
    <row r="266" spans="1:3" x14ac:dyDescent="0.2">
      <c r="A266" s="3">
        <v>46333</v>
      </c>
      <c r="B266" s="2">
        <v>617.05999999999995</v>
      </c>
      <c r="C266">
        <f t="shared" si="4"/>
        <v>165</v>
      </c>
    </row>
    <row r="267" spans="1:3" x14ac:dyDescent="0.2">
      <c r="A267" s="3">
        <v>46334</v>
      </c>
      <c r="B267" s="2">
        <v>610.51</v>
      </c>
      <c r="C267">
        <f t="shared" si="4"/>
        <v>154</v>
      </c>
    </row>
    <row r="268" spans="1:3" x14ac:dyDescent="0.2">
      <c r="A268" s="3">
        <v>46335</v>
      </c>
      <c r="B268" s="2">
        <v>603.98</v>
      </c>
      <c r="C268">
        <f t="shared" si="4"/>
        <v>136</v>
      </c>
    </row>
    <row r="269" spans="1:3" x14ac:dyDescent="0.2">
      <c r="A269" s="3">
        <v>46336</v>
      </c>
      <c r="B269" s="2">
        <v>609.87</v>
      </c>
      <c r="C269">
        <f t="shared" si="4"/>
        <v>152</v>
      </c>
    </row>
    <row r="270" spans="1:3" x14ac:dyDescent="0.2">
      <c r="A270" s="3">
        <v>46337</v>
      </c>
      <c r="B270" s="2">
        <v>622.29</v>
      </c>
      <c r="C270">
        <f t="shared" si="4"/>
        <v>172</v>
      </c>
    </row>
    <row r="271" spans="1:3" x14ac:dyDescent="0.2">
      <c r="A271" s="3">
        <v>46338</v>
      </c>
      <c r="B271" s="2">
        <v>626.87</v>
      </c>
      <c r="C271">
        <f t="shared" si="4"/>
        <v>178</v>
      </c>
    </row>
    <row r="272" spans="1:3" x14ac:dyDescent="0.2">
      <c r="A272" s="3">
        <v>46339</v>
      </c>
      <c r="B272" s="2">
        <v>633.4</v>
      </c>
      <c r="C272">
        <f t="shared" si="4"/>
        <v>183</v>
      </c>
    </row>
    <row r="273" spans="1:3" x14ac:dyDescent="0.2">
      <c r="A273" s="3">
        <v>46340</v>
      </c>
      <c r="B273" s="2">
        <v>636.02</v>
      </c>
      <c r="C273">
        <f t="shared" si="4"/>
        <v>186</v>
      </c>
    </row>
    <row r="274" spans="1:3" x14ac:dyDescent="0.2">
      <c r="A274" s="3">
        <v>46341</v>
      </c>
      <c r="B274" s="2">
        <v>634.05999999999995</v>
      </c>
      <c r="C274">
        <f t="shared" si="4"/>
        <v>184</v>
      </c>
    </row>
    <row r="275" spans="1:3" x14ac:dyDescent="0.2">
      <c r="A275" s="3">
        <v>46342</v>
      </c>
      <c r="B275" s="2">
        <v>633.4</v>
      </c>
      <c r="C275">
        <f t="shared" si="4"/>
        <v>183</v>
      </c>
    </row>
    <row r="276" spans="1:3" x14ac:dyDescent="0.2">
      <c r="A276" s="3">
        <v>46343</v>
      </c>
      <c r="B276" s="2">
        <v>632.75</v>
      </c>
      <c r="C276">
        <f t="shared" si="4"/>
        <v>182</v>
      </c>
    </row>
    <row r="277" spans="1:3" x14ac:dyDescent="0.2">
      <c r="A277" s="3">
        <v>46344</v>
      </c>
      <c r="B277" s="2">
        <v>637.33000000000004</v>
      </c>
      <c r="C277">
        <f t="shared" si="4"/>
        <v>187</v>
      </c>
    </row>
    <row r="278" spans="1:3" x14ac:dyDescent="0.2">
      <c r="A278" s="3">
        <v>46345</v>
      </c>
      <c r="B278" s="2">
        <v>637.33000000000004</v>
      </c>
      <c r="C278">
        <f t="shared" si="4"/>
        <v>187</v>
      </c>
    </row>
    <row r="279" spans="1:3" x14ac:dyDescent="0.2">
      <c r="A279" s="3">
        <v>46346</v>
      </c>
      <c r="B279" s="2">
        <v>647.24</v>
      </c>
      <c r="C279">
        <f t="shared" si="4"/>
        <v>192</v>
      </c>
    </row>
    <row r="280" spans="1:3" x14ac:dyDescent="0.2">
      <c r="A280" s="3">
        <v>46347</v>
      </c>
      <c r="B280" s="2">
        <v>647.24</v>
      </c>
      <c r="C280">
        <f t="shared" si="4"/>
        <v>192</v>
      </c>
    </row>
    <row r="281" spans="1:3" x14ac:dyDescent="0.2">
      <c r="A281" s="3">
        <v>46348</v>
      </c>
      <c r="B281" s="2">
        <v>643.28</v>
      </c>
      <c r="C281">
        <f t="shared" si="4"/>
        <v>190</v>
      </c>
    </row>
    <row r="282" spans="1:3" x14ac:dyDescent="0.2">
      <c r="A282" s="3">
        <v>46349</v>
      </c>
      <c r="B282" s="2">
        <v>647.24</v>
      </c>
      <c r="C282">
        <f t="shared" si="4"/>
        <v>192</v>
      </c>
    </row>
    <row r="283" spans="1:3" x14ac:dyDescent="0.2">
      <c r="A283" s="3">
        <v>46350</v>
      </c>
      <c r="B283" s="2">
        <v>646.55999999999995</v>
      </c>
      <c r="C283">
        <f t="shared" si="4"/>
        <v>191</v>
      </c>
    </row>
    <row r="284" spans="1:3" x14ac:dyDescent="0.2">
      <c r="A284" s="3">
        <v>46351</v>
      </c>
      <c r="B284" s="2">
        <v>650.53</v>
      </c>
      <c r="C284">
        <f t="shared" si="4"/>
        <v>194</v>
      </c>
    </row>
    <row r="285" spans="1:3" x14ac:dyDescent="0.2">
      <c r="A285" s="3">
        <v>46352</v>
      </c>
      <c r="B285" s="2">
        <v>653.85</v>
      </c>
      <c r="C285">
        <f t="shared" si="4"/>
        <v>196</v>
      </c>
    </row>
    <row r="286" spans="1:3" x14ac:dyDescent="0.2">
      <c r="A286" s="3">
        <v>46353</v>
      </c>
      <c r="B286" s="2">
        <v>641.25</v>
      </c>
      <c r="C286">
        <f t="shared" si="4"/>
        <v>189</v>
      </c>
    </row>
    <row r="287" spans="1:3" x14ac:dyDescent="0.2">
      <c r="A287" s="3">
        <v>46354</v>
      </c>
      <c r="B287" s="2">
        <v>634.05999999999995</v>
      </c>
      <c r="C287">
        <f t="shared" si="4"/>
        <v>184</v>
      </c>
    </row>
    <row r="288" spans="1:3" x14ac:dyDescent="0.2">
      <c r="A288" s="3">
        <v>46355</v>
      </c>
      <c r="B288" s="1">
        <v>626.87</v>
      </c>
      <c r="C288">
        <f t="shared" si="4"/>
        <v>178</v>
      </c>
    </row>
    <row r="289" spans="1:3" x14ac:dyDescent="0.2">
      <c r="A289" s="3">
        <v>46356</v>
      </c>
      <c r="B289" s="1">
        <v>619.67999999999995</v>
      </c>
      <c r="C289">
        <f t="shared" si="4"/>
        <v>167</v>
      </c>
    </row>
    <row r="290" spans="1:3" x14ac:dyDescent="0.2">
      <c r="A290" s="3">
        <v>46357</v>
      </c>
      <c r="B290" s="2">
        <v>622.95000000000005</v>
      </c>
      <c r="C290">
        <f t="shared" si="4"/>
        <v>173</v>
      </c>
    </row>
    <row r="291" spans="1:3" x14ac:dyDescent="0.2">
      <c r="A291" s="3">
        <v>46358</v>
      </c>
      <c r="B291" s="2">
        <v>628.83000000000004</v>
      </c>
      <c r="C291">
        <f t="shared" si="4"/>
        <v>179</v>
      </c>
    </row>
    <row r="292" spans="1:3" x14ac:dyDescent="0.2">
      <c r="A292" s="3">
        <v>46359</v>
      </c>
      <c r="B292" s="2">
        <v>628.83000000000004</v>
      </c>
      <c r="C292">
        <f t="shared" si="4"/>
        <v>179</v>
      </c>
    </row>
    <row r="293" spans="1:3" x14ac:dyDescent="0.2">
      <c r="A293" s="3">
        <v>46360</v>
      </c>
      <c r="B293" s="2">
        <v>629.48</v>
      </c>
      <c r="C293">
        <f t="shared" si="4"/>
        <v>180</v>
      </c>
    </row>
    <row r="294" spans="1:3" x14ac:dyDescent="0.2">
      <c r="A294" s="3">
        <v>46361</v>
      </c>
      <c r="B294" s="2">
        <v>625.55999999999995</v>
      </c>
      <c r="C294">
        <f t="shared" si="4"/>
        <v>176</v>
      </c>
    </row>
    <row r="295" spans="1:3" x14ac:dyDescent="0.2">
      <c r="A295" s="3">
        <v>46362</v>
      </c>
      <c r="B295" s="2">
        <v>620.33000000000004</v>
      </c>
      <c r="C295">
        <f t="shared" si="4"/>
        <v>168</v>
      </c>
    </row>
    <row r="296" spans="1:3" x14ac:dyDescent="0.2">
      <c r="A296" s="3">
        <v>46363</v>
      </c>
      <c r="B296" s="2">
        <v>619.67999999999995</v>
      </c>
      <c r="C296">
        <f t="shared" si="4"/>
        <v>167</v>
      </c>
    </row>
    <row r="297" spans="1:3" x14ac:dyDescent="0.2">
      <c r="A297" s="3">
        <v>46364</v>
      </c>
      <c r="B297" s="2">
        <v>619.67999999999995</v>
      </c>
      <c r="C297">
        <f t="shared" si="4"/>
        <v>167</v>
      </c>
    </row>
    <row r="298" spans="1:3" x14ac:dyDescent="0.2">
      <c r="A298" s="3">
        <v>46365</v>
      </c>
      <c r="B298" s="2">
        <v>625.55999999999995</v>
      </c>
      <c r="C298">
        <f t="shared" si="4"/>
        <v>176</v>
      </c>
    </row>
    <row r="299" spans="1:3" x14ac:dyDescent="0.2">
      <c r="A299" s="3">
        <v>46366</v>
      </c>
      <c r="B299" s="2">
        <v>628.83000000000004</v>
      </c>
      <c r="C299">
        <f t="shared" si="4"/>
        <v>179</v>
      </c>
    </row>
    <row r="300" spans="1:3" x14ac:dyDescent="0.2">
      <c r="A300" s="3">
        <v>46367</v>
      </c>
      <c r="B300" s="2">
        <v>632.75</v>
      </c>
      <c r="C300">
        <f t="shared" si="4"/>
        <v>182</v>
      </c>
    </row>
    <row r="301" spans="1:3" x14ac:dyDescent="0.2">
      <c r="A301" s="3">
        <v>46368</v>
      </c>
      <c r="B301" s="2">
        <v>635.37</v>
      </c>
      <c r="C301">
        <f t="shared" si="4"/>
        <v>185</v>
      </c>
    </row>
    <row r="302" spans="1:3" x14ac:dyDescent="0.2">
      <c r="A302" s="3">
        <v>46369</v>
      </c>
      <c r="B302" s="2">
        <v>633.4</v>
      </c>
      <c r="C302">
        <f t="shared" si="4"/>
        <v>183</v>
      </c>
    </row>
    <row r="303" spans="1:3" x14ac:dyDescent="0.2">
      <c r="A303" s="3">
        <v>46370</v>
      </c>
      <c r="B303" s="2">
        <v>632.75</v>
      </c>
      <c r="C303">
        <f t="shared" si="4"/>
        <v>182</v>
      </c>
    </row>
    <row r="304" spans="1:3" x14ac:dyDescent="0.2">
      <c r="A304" s="3">
        <v>46371</v>
      </c>
      <c r="B304" s="2">
        <v>632.75</v>
      </c>
      <c r="C304">
        <f t="shared" si="4"/>
        <v>182</v>
      </c>
    </row>
    <row r="305" spans="1:3" x14ac:dyDescent="0.2">
      <c r="A305" s="3">
        <v>46372</v>
      </c>
      <c r="B305" s="2">
        <v>637.33000000000004</v>
      </c>
      <c r="C305">
        <f t="shared" si="4"/>
        <v>187</v>
      </c>
    </row>
    <row r="306" spans="1:3" x14ac:dyDescent="0.2">
      <c r="A306" s="3">
        <v>46373</v>
      </c>
      <c r="B306" s="2">
        <v>640.59</v>
      </c>
      <c r="C306">
        <f t="shared" si="4"/>
        <v>188</v>
      </c>
    </row>
    <row r="307" spans="1:3" x14ac:dyDescent="0.2">
      <c r="A307" s="3">
        <v>46374</v>
      </c>
      <c r="B307" s="2">
        <v>649.87</v>
      </c>
      <c r="C307">
        <f t="shared" si="4"/>
        <v>193</v>
      </c>
    </row>
    <row r="308" spans="1:3" x14ac:dyDescent="0.2">
      <c r="A308" s="3">
        <v>46375</v>
      </c>
      <c r="B308" s="2">
        <v>653.85</v>
      </c>
      <c r="C308">
        <f t="shared" si="4"/>
        <v>196</v>
      </c>
    </row>
    <row r="309" spans="1:3" x14ac:dyDescent="0.2">
      <c r="A309" s="3">
        <v>46376</v>
      </c>
      <c r="B309" s="2">
        <v>653.85</v>
      </c>
      <c r="C309">
        <f t="shared" si="4"/>
        <v>196</v>
      </c>
    </row>
    <row r="310" spans="1:3" x14ac:dyDescent="0.2">
      <c r="A310" s="3">
        <v>46377</v>
      </c>
      <c r="B310" s="2">
        <v>654.49</v>
      </c>
      <c r="C310">
        <f t="shared" si="4"/>
        <v>197</v>
      </c>
    </row>
    <row r="311" spans="1:3" x14ac:dyDescent="0.2">
      <c r="A311" s="3">
        <v>46378</v>
      </c>
      <c r="B311" s="2">
        <v>655.16</v>
      </c>
      <c r="C311">
        <f t="shared" si="4"/>
        <v>198</v>
      </c>
    </row>
    <row r="312" spans="1:3" x14ac:dyDescent="0.2">
      <c r="A312" s="3">
        <v>46379</v>
      </c>
      <c r="B312" s="2">
        <v>655.16</v>
      </c>
      <c r="C312">
        <f t="shared" si="4"/>
        <v>198</v>
      </c>
    </row>
    <row r="313" spans="1:3" x14ac:dyDescent="0.2">
      <c r="A313" s="3">
        <v>46380</v>
      </c>
      <c r="B313" s="2">
        <v>655.16</v>
      </c>
      <c r="C313">
        <f t="shared" si="4"/>
        <v>198</v>
      </c>
    </row>
    <row r="314" spans="1:3" x14ac:dyDescent="0.2">
      <c r="A314" s="3">
        <v>46381</v>
      </c>
      <c r="B314" s="2">
        <v>655.16</v>
      </c>
      <c r="C314">
        <f t="shared" si="4"/>
        <v>198</v>
      </c>
    </row>
    <row r="315" spans="1:3" x14ac:dyDescent="0.2">
      <c r="A315" s="3">
        <v>46382</v>
      </c>
      <c r="B315" s="2">
        <v>655.16</v>
      </c>
      <c r="C315">
        <f t="shared" si="4"/>
        <v>198</v>
      </c>
    </row>
    <row r="316" spans="1:3" x14ac:dyDescent="0.2">
      <c r="A316" s="3">
        <v>46383</v>
      </c>
      <c r="B316" s="1">
        <v>655.16</v>
      </c>
      <c r="C316">
        <f t="shared" si="4"/>
        <v>198</v>
      </c>
    </row>
    <row r="317" spans="1:3" x14ac:dyDescent="0.2">
      <c r="A317" s="3">
        <v>46384</v>
      </c>
      <c r="B317" s="1">
        <v>657.15</v>
      </c>
      <c r="C317">
        <f t="shared" si="4"/>
        <v>200</v>
      </c>
    </row>
    <row r="318" spans="1:3" x14ac:dyDescent="0.2">
      <c r="A318" s="3">
        <v>46385</v>
      </c>
      <c r="B318" s="1">
        <v>657.15</v>
      </c>
      <c r="C318">
        <f t="shared" si="4"/>
        <v>200</v>
      </c>
    </row>
    <row r="319" spans="1:3" x14ac:dyDescent="0.2">
      <c r="A319" s="3">
        <v>46386</v>
      </c>
      <c r="B319" s="1">
        <v>656.49</v>
      </c>
      <c r="C319">
        <f t="shared" si="4"/>
        <v>199</v>
      </c>
    </row>
    <row r="320" spans="1:3" x14ac:dyDescent="0.2">
      <c r="A320" s="3">
        <v>46387</v>
      </c>
      <c r="B320" s="1">
        <v>652.53</v>
      </c>
      <c r="C320">
        <f t="shared" si="4"/>
        <v>195</v>
      </c>
    </row>
    <row r="321" spans="2:2" x14ac:dyDescent="0.2">
      <c r="B3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2D 1ppd CH</vt:lpstr>
      <vt:lpstr>2D 1ppd AD</vt:lpstr>
      <vt:lpstr>Date Based Pricing Tier Cre (2)</vt:lpstr>
      <vt:lpstr>Date Based Pricing Tier Cre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Kobi Mason</dc:creator>
  <cp:lastModifiedBy>Kobi Mason</cp:lastModifiedBy>
  <dcterms:created xsi:type="dcterms:W3CDTF">2026-02-16T07:26:52Z</dcterms:created>
  <dcterms:modified xsi:type="dcterms:W3CDTF">2026-03-08T12:37:59Z</dcterms:modified>
</cp:coreProperties>
</file>